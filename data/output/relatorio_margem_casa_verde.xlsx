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Categorias" sheetId="2" state="visible" r:id="rId4"/>
    <sheet name="Produtos no prejuizo" sheetId="3" state="visible" r:id="rId5"/>
    <sheet name="Ranking de produtos" sheetId="4" state="visible" r:id="rId6"/>
    <sheet name="Clientes" sheetId="5" state="visible" r:id="rId7"/>
    <sheet name="Frete" sheetId="6" state="visible" r:id="rId8"/>
    <sheet name="Desconto" sheetId="7" state="visible" r:id="rId9"/>
    <sheet name="Evolucao mensal" sheetId="8" state="visible" r:id="rId10"/>
    <sheet name="Qualidade dos dad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<sst xmlns="http://schemas.openxmlformats.org/spreadsheetml/2006/main" count="1545" uniqueCount="588">
  <si>
    <t xml:space="preserve">Casa Verde Distribuidora</t>
  </si>
  <si>
    <t xml:space="preserve">Analise de margem de contribuicao por produto, cliente e categoria</t>
  </si>
  <si>
    <t xml:space="preserve">Periodo analisado: 01/01/2025 a 31/12/2025</t>
  </si>
  <si>
    <t xml:space="preserve">RESULTADO DO PERIODO</t>
  </si>
  <si>
    <t xml:space="preserve">Receita total</t>
  </si>
  <si>
    <t xml:space="preserve">Margem de contribuicao</t>
  </si>
  <si>
    <t xml:space="preserve">Margem sobre a receita</t>
  </si>
  <si>
    <t xml:space="preserve">Frete subsidiado no ano</t>
  </si>
  <si>
    <t xml:space="preserve">PRINCIPAIS ACHADOS</t>
  </si>
  <si>
    <t xml:space="preserve">A categoria Descartaveis opera com margem negativa</t>
  </si>
  <si>
    <t xml:space="preserve">40 produtos vendem com margem negativa</t>
  </si>
  <si>
    <t xml:space="preserve">Custo de entrega absorvido pela politica de frete gratis</t>
  </si>
  <si>
    <t xml:space="preserve">COMO LER ESTE RELATORIO</t>
  </si>
  <si>
    <t xml:space="preserve">Margem de contribuicao desconta do faturamento o custo da mercadoria, o custo real da entrega e a comissao do vendedor. E diferente da margem bruta mostrada pelo sistema, que considera apenas mercadoria.</t>
  </si>
  <si>
    <t xml:space="preserve">Frete subsidiado e a parcela do custo de entrega que a empresa absorveu e nao cobrou do cliente.</t>
  </si>
  <si>
    <t xml:space="preserve">Classe ABC segue o criterio de receita acumulada. Classe A concentra os primeiros 80 por cento do faturamento.</t>
  </si>
  <si>
    <t xml:space="preserve">Produtos sem custo de compra cadastrado aparecem no faturamento, mas ficam fora do calculo de margem. A aba Qualidade dos dados lista quantos sao.</t>
  </si>
  <si>
    <t xml:space="preserve">Dados sinteticos gerados para demonstracao metodologica. Os valores nao representam empresa real.</t>
  </si>
  <si>
    <t xml:space="preserve">Resultado por categoria</t>
  </si>
  <si>
    <t xml:space="preserve">Ordenado da pior para a melhor margem</t>
  </si>
  <si>
    <t xml:space="preserve">Categoria</t>
  </si>
  <si>
    <t xml:space="preserve">Receita</t>
  </si>
  <si>
    <t xml:space="preserve">Margem %</t>
  </si>
  <si>
    <t xml:space="preserve">Frete subsidiado</t>
  </si>
  <si>
    <t xml:space="preserve">Participacao %</t>
  </si>
  <si>
    <t xml:space="preserve">Pedidos</t>
  </si>
  <si>
    <t xml:space="preserve">Situacao</t>
  </si>
  <si>
    <t xml:space="preserve">Descartaveis</t>
  </si>
  <si>
    <t xml:space="preserve">PREJUIZO</t>
  </si>
  <si>
    <t xml:space="preserve">EPI</t>
  </si>
  <si>
    <t xml:space="preserve">SAUDAVEL</t>
  </si>
  <si>
    <t xml:space="preserve">Acessorios</t>
  </si>
  <si>
    <t xml:space="preserve">Papel</t>
  </si>
  <si>
    <t xml:space="preserve">ATENCAO</t>
  </si>
  <si>
    <t xml:space="preserve">Quimicos</t>
  </si>
  <si>
    <t xml:space="preserve">TOTAL</t>
  </si>
  <si>
    <t xml:space="preserve">Produtos que vendem e dao prejuizo</t>
  </si>
  <si>
    <t xml:space="preserve">Apenas itens com receita anual acima de mil reais</t>
  </si>
  <si>
    <t xml:space="preserve">Codigo</t>
  </si>
  <si>
    <t xml:space="preserve">Produto</t>
  </si>
  <si>
    <t xml:space="preserve">Quantidade</t>
  </si>
  <si>
    <t xml:space="preserve">Desconto medio %</t>
  </si>
  <si>
    <t xml:space="preserve">P1084</t>
  </si>
  <si>
    <t xml:space="preserve">Prato Descartavel 15Cm - Pacote 100</t>
  </si>
  <si>
    <t xml:space="preserve">P1111</t>
  </si>
  <si>
    <t xml:space="preserve">Luva Plastica Descartavel</t>
  </si>
  <si>
    <t xml:space="preserve">P1110</t>
  </si>
  <si>
    <t xml:space="preserve">Embalagem Delivery 750Ml - Fardo 6</t>
  </si>
  <si>
    <t xml:space="preserve">P1077</t>
  </si>
  <si>
    <t xml:space="preserve">Copo Descartavel 50Ml</t>
  </si>
  <si>
    <t xml:space="preserve">P1094</t>
  </si>
  <si>
    <t xml:space="preserve">Saco Lixo 100L - Fardo 6</t>
  </si>
  <si>
    <t xml:space="preserve">P1072</t>
  </si>
  <si>
    <t xml:space="preserve">Copo Descartavel 200Ml</t>
  </si>
  <si>
    <t xml:space="preserve">P1106</t>
  </si>
  <si>
    <t xml:space="preserve">Marmitex Aluminio 800Ml - Caixa 24</t>
  </si>
  <si>
    <t xml:space="preserve">P1089</t>
  </si>
  <si>
    <t xml:space="preserve">Talher Descartavel Misto - Fardo 6</t>
  </si>
  <si>
    <t xml:space="preserve">P1088</t>
  </si>
  <si>
    <t xml:space="preserve">Talher Descartavel Misto - Caixa 24</t>
  </si>
  <si>
    <t xml:space="preserve">P1114</t>
  </si>
  <si>
    <t xml:space="preserve">Luva Plastica Descartavel - Fardo 6</t>
  </si>
  <si>
    <t xml:space="preserve">P1090</t>
  </si>
  <si>
    <t xml:space="preserve">Talher Descartavel Misto - Pacote 100</t>
  </si>
  <si>
    <t xml:space="preserve">P1108</t>
  </si>
  <si>
    <t xml:space="preserve">Embalagem Delivery 750Ml - Pacote 100</t>
  </si>
  <si>
    <t xml:space="preserve">P1076</t>
  </si>
  <si>
    <t xml:space="preserve">Copo Descartavel 200Ml - Fardo 12</t>
  </si>
  <si>
    <t xml:space="preserve">P1082</t>
  </si>
  <si>
    <t xml:space="preserve">Prato Descartavel 15Cm</t>
  </si>
  <si>
    <t xml:space="preserve">P1115</t>
  </si>
  <si>
    <t xml:space="preserve">Luva Plastica Descartavel - Fardo 12</t>
  </si>
  <si>
    <t xml:space="preserve">P1100</t>
  </si>
  <si>
    <t xml:space="preserve">Saco Lixo 30L - Fardo 6</t>
  </si>
  <si>
    <t xml:space="preserve">P1105</t>
  </si>
  <si>
    <t xml:space="preserve">Marmitex Aluminio 800Ml - Pacote 100</t>
  </si>
  <si>
    <t xml:space="preserve">P1112</t>
  </si>
  <si>
    <t xml:space="preserve">Luva Plastica Descartavel - Pacote 100</t>
  </si>
  <si>
    <t xml:space="preserve">P1078</t>
  </si>
  <si>
    <t xml:space="preserve">Copo Descartavel 50Ml - Fardo 6</t>
  </si>
  <si>
    <t xml:space="preserve">P1104</t>
  </si>
  <si>
    <t xml:space="preserve">P1107</t>
  </si>
  <si>
    <t xml:space="preserve">Embalagem Delivery 750Ml</t>
  </si>
  <si>
    <t xml:space="preserve">P1083</t>
  </si>
  <si>
    <t xml:space="preserve">Prato Descartavel 15Cm - Caixa 24</t>
  </si>
  <si>
    <t xml:space="preserve">P1096</t>
  </si>
  <si>
    <t xml:space="preserve">Saco Lixo 60L - Fardo 6</t>
  </si>
  <si>
    <t xml:space="preserve">P1079</t>
  </si>
  <si>
    <t xml:space="preserve">Copo Descartavel 50Ml - Pacote 100</t>
  </si>
  <si>
    <t xml:space="preserve">P1101</t>
  </si>
  <si>
    <t xml:space="preserve">P1113</t>
  </si>
  <si>
    <t xml:space="preserve">P1091</t>
  </si>
  <si>
    <t xml:space="preserve">Saco Lixo 100L</t>
  </si>
  <si>
    <t xml:space="preserve">P1092</t>
  </si>
  <si>
    <t xml:space="preserve">Saco Lixo 100L - Pacote 100</t>
  </si>
  <si>
    <t xml:space="preserve">P1109</t>
  </si>
  <si>
    <t xml:space="preserve">P1099</t>
  </si>
  <si>
    <t xml:space="preserve">Saco Lixo 30L</t>
  </si>
  <si>
    <t xml:space="preserve">P1093</t>
  </si>
  <si>
    <t xml:space="preserve">Saco Lixo 100L - Fardo 12</t>
  </si>
  <si>
    <t xml:space="preserve">P1073</t>
  </si>
  <si>
    <t xml:space="preserve">P1075</t>
  </si>
  <si>
    <t xml:space="preserve">Copo Descartavel 200Ml - Fardo 6</t>
  </si>
  <si>
    <t xml:space="preserve">P1098</t>
  </si>
  <si>
    <t xml:space="preserve">Saco Lixo 60L - Caixa 24</t>
  </si>
  <si>
    <t xml:space="preserve">P1085</t>
  </si>
  <si>
    <t xml:space="preserve">P1097</t>
  </si>
  <si>
    <t xml:space="preserve">Saco Lixo 60L - Pacote 100</t>
  </si>
  <si>
    <t xml:space="preserve">P1081</t>
  </si>
  <si>
    <t xml:space="preserve">P1074</t>
  </si>
  <si>
    <t xml:space="preserve">Copo Descartavel 200Ml - Pacote 100</t>
  </si>
  <si>
    <t xml:space="preserve">P1103</t>
  </si>
  <si>
    <t xml:space="preserve">Marmitex Aluminio 800Ml</t>
  </si>
  <si>
    <t xml:space="preserve">P1095</t>
  </si>
  <si>
    <t xml:space="preserve">Saco Lixo 60L</t>
  </si>
  <si>
    <t xml:space="preserve">Todos os produtos com curva ABC</t>
  </si>
  <si>
    <t xml:space="preserve">Classe A concentra os primeiros 80 por cento da receita</t>
  </si>
  <si>
    <t xml:space="preserve">Classe ABC</t>
  </si>
  <si>
    <t xml:space="preserve">Receita acumulada %</t>
  </si>
  <si>
    <t xml:space="preserve">P1061</t>
  </si>
  <si>
    <t xml:space="preserve">Guardanapo 24X24 - Caixa 24</t>
  </si>
  <si>
    <t xml:space="preserve">A</t>
  </si>
  <si>
    <t xml:space="preserve">P1058</t>
  </si>
  <si>
    <t xml:space="preserve">Papel Higienico Folha Dupla 30M - Fardo 12</t>
  </si>
  <si>
    <t xml:space="preserve">P1053</t>
  </si>
  <si>
    <t xml:space="preserve">Papel Toalha Interfolha 1000F - Caixa 24</t>
  </si>
  <si>
    <t xml:space="preserve">P1071</t>
  </si>
  <si>
    <t xml:space="preserve">Papel Toalha Rolo 100F - Fardo 6</t>
  </si>
  <si>
    <t xml:space="preserve">P1056</t>
  </si>
  <si>
    <t xml:space="preserve">P1048</t>
  </si>
  <si>
    <t xml:space="preserve">Papel Higienico Rolao 300M - Fardo 12</t>
  </si>
  <si>
    <t xml:space="preserve">P1049</t>
  </si>
  <si>
    <t xml:space="preserve">Papel Higienico Rolao 300M - Fardo 6</t>
  </si>
  <si>
    <t xml:space="preserve">P1068</t>
  </si>
  <si>
    <t xml:space="preserve">Papel Toalha Rolo 100F - Pacote 100</t>
  </si>
  <si>
    <t xml:space="preserve">P1063</t>
  </si>
  <si>
    <t xml:space="preserve">Bobina Papel Toalha 200M</t>
  </si>
  <si>
    <t xml:space="preserve">P1036</t>
  </si>
  <si>
    <t xml:space="preserve">Alcool 70 1L</t>
  </si>
  <si>
    <t xml:space="preserve">P1051</t>
  </si>
  <si>
    <t xml:space="preserve">Papel Toalha Interfolha 1000F - Pacote 100</t>
  </si>
  <si>
    <t xml:space="preserve">P1042</t>
  </si>
  <si>
    <t xml:space="preserve">Limpa Vidros 500Ml - Fardo 12</t>
  </si>
  <si>
    <t xml:space="preserve">P1001</t>
  </si>
  <si>
    <t xml:space="preserve">Detergente Neutro 5L</t>
  </si>
  <si>
    <t xml:space="preserve">P1032</t>
  </si>
  <si>
    <t xml:space="preserve">Removedor 1L</t>
  </si>
  <si>
    <t xml:space="preserve">P1008</t>
  </si>
  <si>
    <t xml:space="preserve">Desinfetante Lavanda 5L - Pacote 100</t>
  </si>
  <si>
    <t xml:space="preserve">P1040</t>
  </si>
  <si>
    <t xml:space="preserve">Alcool 70 1L - Caixa 24</t>
  </si>
  <si>
    <t xml:space="preserve">P1046</t>
  </si>
  <si>
    <t xml:space="preserve">P1052</t>
  </si>
  <si>
    <t xml:space="preserve">P1027</t>
  </si>
  <si>
    <t xml:space="preserve">Cera Liquida Incolor 5L</t>
  </si>
  <si>
    <t xml:space="preserve">P1059</t>
  </si>
  <si>
    <t xml:space="preserve">Guardanapo 24X24</t>
  </si>
  <si>
    <t xml:space="preserve">P1062</t>
  </si>
  <si>
    <t xml:space="preserve">Guardanapo 24X24 - Fardo 12</t>
  </si>
  <si>
    <t xml:space="preserve">P1060</t>
  </si>
  <si>
    <t xml:space="preserve">P1018</t>
  </si>
  <si>
    <t xml:space="preserve">Limpador Multiuso 5L - Fardo 6</t>
  </si>
  <si>
    <t xml:space="preserve">P1039</t>
  </si>
  <si>
    <t xml:space="preserve">Alcool 70 1L - Fardo 6</t>
  </si>
  <si>
    <t xml:space="preserve">P1047</t>
  </si>
  <si>
    <t xml:space="preserve">P1010</t>
  </si>
  <si>
    <t xml:space="preserve">Alvejante 5L</t>
  </si>
  <si>
    <t xml:space="preserve">P1015</t>
  </si>
  <si>
    <t xml:space="preserve">Limpador Multiuso 5L</t>
  </si>
  <si>
    <t xml:space="preserve">P1067</t>
  </si>
  <si>
    <t xml:space="preserve">Papel Toalha Rolo 100F</t>
  </si>
  <si>
    <t xml:space="preserve">P1025</t>
  </si>
  <si>
    <t xml:space="preserve">Sabao Liquido 5L - Fardo 6</t>
  </si>
  <si>
    <t xml:space="preserve">P1004</t>
  </si>
  <si>
    <t xml:space="preserve">Detergente Neutro 5L - Caixa 24</t>
  </si>
  <si>
    <t xml:space="preserve">P1149</t>
  </si>
  <si>
    <t xml:space="preserve">Borrifador 500Ml - Fardo 12</t>
  </si>
  <si>
    <t xml:space="preserve">P1006</t>
  </si>
  <si>
    <t xml:space="preserve">P1028</t>
  </si>
  <si>
    <t xml:space="preserve">Cera Liquida Incolor 5L - Fardo 6</t>
  </si>
  <si>
    <t xml:space="preserve">P1050</t>
  </si>
  <si>
    <t xml:space="preserve">Papel Toalha Interfolha 1000F</t>
  </si>
  <si>
    <t xml:space="preserve">P1012</t>
  </si>
  <si>
    <t xml:space="preserve">Alvejante 5L - Caixa 24</t>
  </si>
  <si>
    <t xml:space="preserve">P1023</t>
  </si>
  <si>
    <t xml:space="preserve">Sabao Liquido 5L</t>
  </si>
  <si>
    <t xml:space="preserve">P1066</t>
  </si>
  <si>
    <t xml:space="preserve">Bobina Papel Toalha 200M - Caixa 24</t>
  </si>
  <si>
    <t xml:space="preserve">P1005</t>
  </si>
  <si>
    <t xml:space="preserve">Desinfetante Lavanda 5L</t>
  </si>
  <si>
    <t xml:space="preserve">P1019</t>
  </si>
  <si>
    <t xml:space="preserve">Desengordurante 5L</t>
  </si>
  <si>
    <t xml:space="preserve">P1009</t>
  </si>
  <si>
    <t xml:space="preserve">Desinfetante Lavanda 5L - Fardo 6</t>
  </si>
  <si>
    <t xml:space="preserve">P1037</t>
  </si>
  <si>
    <t xml:space="preserve">P1126</t>
  </si>
  <si>
    <t xml:space="preserve">Balde 20L</t>
  </si>
  <si>
    <t xml:space="preserve">P1030</t>
  </si>
  <si>
    <t xml:space="preserve">P1070</t>
  </si>
  <si>
    <t xml:space="preserve">Papel Toalha Rolo 100F - Caixa 24</t>
  </si>
  <si>
    <t xml:space="preserve">P1029</t>
  </si>
  <si>
    <t xml:space="preserve">P1069</t>
  </si>
  <si>
    <t xml:space="preserve">P1011</t>
  </si>
  <si>
    <t xml:space="preserve">Alvejante 5L - Fardo 6</t>
  </si>
  <si>
    <t xml:space="preserve">P1031</t>
  </si>
  <si>
    <t xml:space="preserve">P1045</t>
  </si>
  <si>
    <t xml:space="preserve">Papel Higienico Rolao 300M</t>
  </si>
  <si>
    <t xml:space="preserve">P1007</t>
  </si>
  <si>
    <t xml:space="preserve">P1041</t>
  </si>
  <si>
    <t xml:space="preserve">Limpa Vidros 500Ml</t>
  </si>
  <si>
    <t xml:space="preserve">P1147</t>
  </si>
  <si>
    <t xml:space="preserve">Escova Sanitaria - Caixa 24</t>
  </si>
  <si>
    <t xml:space="preserve">P1024</t>
  </si>
  <si>
    <t xml:space="preserve">Sabao Liquido 5L - Pacote 100</t>
  </si>
  <si>
    <t xml:space="preserve">P1125</t>
  </si>
  <si>
    <t xml:space="preserve">Rodo 40Cm - Pacote 100</t>
  </si>
  <si>
    <t xml:space="preserve">P1033</t>
  </si>
  <si>
    <t xml:space="preserve">Removedor 1L - Pacote 100</t>
  </si>
  <si>
    <t xml:space="preserve">P1003</t>
  </si>
  <si>
    <t xml:space="preserve">Detergente Neutro 5L - Pacote 100</t>
  </si>
  <si>
    <t xml:space="preserve">P1136</t>
  </si>
  <si>
    <t xml:space="preserve">Esponja Dupla Face - Fardo 6</t>
  </si>
  <si>
    <t xml:space="preserve">P1043</t>
  </si>
  <si>
    <t xml:space="preserve">Limpa Vidros 500Ml - Caixa 24</t>
  </si>
  <si>
    <t xml:space="preserve">B</t>
  </si>
  <si>
    <t xml:space="preserve">P1014</t>
  </si>
  <si>
    <t xml:space="preserve">Alvejante 5L - Fardo 12</t>
  </si>
  <si>
    <t xml:space="preserve">P1064</t>
  </si>
  <si>
    <t xml:space="preserve">Bobina Papel Toalha 200M - Fardo 6</t>
  </si>
  <si>
    <t xml:space="preserve">P1158</t>
  </si>
  <si>
    <t xml:space="preserve">Bota Pvc - Fardo 12</t>
  </si>
  <si>
    <t xml:space="preserve">P1175</t>
  </si>
  <si>
    <t xml:space="preserve">Avental Pvc - Caixa 24</t>
  </si>
  <si>
    <t xml:space="preserve">P1152</t>
  </si>
  <si>
    <t xml:space="preserve">Borrifador 500Ml - Fardo 6</t>
  </si>
  <si>
    <t xml:space="preserve">P1150</t>
  </si>
  <si>
    <t xml:space="preserve">P1129</t>
  </si>
  <si>
    <t xml:space="preserve">Balde 20L - Pacote 100</t>
  </si>
  <si>
    <t xml:space="preserve">P1054</t>
  </si>
  <si>
    <t xml:space="preserve">Papel Higienico Folha Dupla 30M</t>
  </si>
  <si>
    <t xml:space="preserve">CRITICA</t>
  </si>
  <si>
    <t xml:space="preserve">P1038</t>
  </si>
  <si>
    <t xml:space="preserve">P1055</t>
  </si>
  <si>
    <t xml:space="preserve">P1121</t>
  </si>
  <si>
    <t xml:space="preserve">Rodo 40Cm</t>
  </si>
  <si>
    <t xml:space="preserve">P1137</t>
  </si>
  <si>
    <t xml:space="preserve">Esponja Dupla Face - Caixa 24</t>
  </si>
  <si>
    <t xml:space="preserve">P1164</t>
  </si>
  <si>
    <t xml:space="preserve">Oculos Protecao - Fardo 6</t>
  </si>
  <si>
    <t xml:space="preserve">P1143</t>
  </si>
  <si>
    <t xml:space="preserve">Mop Umido - Fardo 6</t>
  </si>
  <si>
    <t xml:space="preserve">P1162</t>
  </si>
  <si>
    <t xml:space="preserve">Oculos Protecao</t>
  </si>
  <si>
    <t xml:space="preserve">P1016</t>
  </si>
  <si>
    <t xml:space="preserve">P1120</t>
  </si>
  <si>
    <t xml:space="preserve">Vassoura Nylon - Fardo 12</t>
  </si>
  <si>
    <t xml:space="preserve">P1035</t>
  </si>
  <si>
    <t xml:space="preserve">Removedor 1L - Fardo 6</t>
  </si>
  <si>
    <t xml:space="preserve">P1151</t>
  </si>
  <si>
    <t xml:space="preserve">P1013</t>
  </si>
  <si>
    <t xml:space="preserve">P1140</t>
  </si>
  <si>
    <t xml:space="preserve">Mop Umido - Caixa 24</t>
  </si>
  <si>
    <t xml:space="preserve">P1165</t>
  </si>
  <si>
    <t xml:space="preserve">Oculos Protecao - Caixa 24</t>
  </si>
  <si>
    <t xml:space="preserve">P1118</t>
  </si>
  <si>
    <t xml:space="preserve">Vassoura Nylon - Caixa 24</t>
  </si>
  <si>
    <t xml:space="preserve">P1065</t>
  </si>
  <si>
    <t xml:space="preserve">Bobina Papel Toalha 200M - Pacote 100</t>
  </si>
  <si>
    <t xml:space="preserve">P1128</t>
  </si>
  <si>
    <t xml:space="preserve">Balde 20L - Fardo 12</t>
  </si>
  <si>
    <t xml:space="preserve">P1130</t>
  </si>
  <si>
    <t xml:space="preserve">P1026</t>
  </si>
  <si>
    <t xml:space="preserve">Sabao Liquido 5L - Fardo 12</t>
  </si>
  <si>
    <t xml:space="preserve">P1171</t>
  </si>
  <si>
    <t xml:space="preserve">Avental Pvc</t>
  </si>
  <si>
    <t xml:space="preserve">P1170</t>
  </si>
  <si>
    <t xml:space="preserve">Mascara Descartavel - Caixa 24</t>
  </si>
  <si>
    <t xml:space="preserve">P1142</t>
  </si>
  <si>
    <t xml:space="preserve">P1157</t>
  </si>
  <si>
    <t xml:space="preserve">Bota Pvc</t>
  </si>
  <si>
    <t xml:space="preserve">P1022</t>
  </si>
  <si>
    <t xml:space="preserve">Desengordurante 5L - Pacote 100</t>
  </si>
  <si>
    <t xml:space="preserve">P1117</t>
  </si>
  <si>
    <t xml:space="preserve">P1017</t>
  </si>
  <si>
    <t xml:space="preserve">Limpador Multiuso 5L - Pacote 100</t>
  </si>
  <si>
    <t xml:space="preserve">P1139</t>
  </si>
  <si>
    <t xml:space="preserve">Mop Umido</t>
  </si>
  <si>
    <t xml:space="preserve">C</t>
  </si>
  <si>
    <t xml:space="preserve">P1138</t>
  </si>
  <si>
    <t xml:space="preserve">P1155</t>
  </si>
  <si>
    <t xml:space="preserve">Luva Latex - Fardo 6</t>
  </si>
  <si>
    <t xml:space="preserve">P1119</t>
  </si>
  <si>
    <t xml:space="preserve">Vassoura Nylon - Pacote 100</t>
  </si>
  <si>
    <t xml:space="preserve">P1034</t>
  </si>
  <si>
    <t xml:space="preserve">Removedor 1L - Caixa 24</t>
  </si>
  <si>
    <t xml:space="preserve">P1124</t>
  </si>
  <si>
    <t xml:space="preserve">P1133</t>
  </si>
  <si>
    <t xml:space="preserve">Pano Multiuso - Caixa 24</t>
  </si>
  <si>
    <t xml:space="preserve">P1132</t>
  </si>
  <si>
    <t xml:space="preserve">P1172</t>
  </si>
  <si>
    <t xml:space="preserve">Avental Pvc - Pacote 100</t>
  </si>
  <si>
    <t xml:space="preserve">P1174</t>
  </si>
  <si>
    <t xml:space="preserve">P1002</t>
  </si>
  <si>
    <t xml:space="preserve">P1163</t>
  </si>
  <si>
    <t xml:space="preserve">P1144</t>
  </si>
  <si>
    <t xml:space="preserve">Escova Sanitaria</t>
  </si>
  <si>
    <t xml:space="preserve">P1167</t>
  </si>
  <si>
    <t xml:space="preserve">Mascara Descartavel</t>
  </si>
  <si>
    <t xml:space="preserve">P1159</t>
  </si>
  <si>
    <t xml:space="preserve">Bota Pvc - Fardo 6</t>
  </si>
  <si>
    <t xml:space="preserve">P1153</t>
  </si>
  <si>
    <t xml:space="preserve">Luva Latex</t>
  </si>
  <si>
    <t xml:space="preserve">P1148</t>
  </si>
  <si>
    <t xml:space="preserve">Borrifador 500Ml</t>
  </si>
  <si>
    <t xml:space="preserve">P1173</t>
  </si>
  <si>
    <t xml:space="preserve">Avental Pvc - Fardo 6</t>
  </si>
  <si>
    <t xml:space="preserve">P1145</t>
  </si>
  <si>
    <t xml:space="preserve">Escova Sanitaria - Fardo 12</t>
  </si>
  <si>
    <t xml:space="preserve">P1169</t>
  </si>
  <si>
    <t xml:space="preserve">Mascara Descartavel - Fardo 12</t>
  </si>
  <si>
    <t xml:space="preserve">P1122</t>
  </si>
  <si>
    <t xml:space="preserve">Rodo 40Cm - Caixa 24</t>
  </si>
  <si>
    <t xml:space="preserve">P1168</t>
  </si>
  <si>
    <t xml:space="preserve">Mascara Descartavel - Fardo 6</t>
  </si>
  <si>
    <t xml:space="preserve">P1141</t>
  </si>
  <si>
    <t xml:space="preserve">P1116</t>
  </si>
  <si>
    <t xml:space="preserve">Vassoura Nylon</t>
  </si>
  <si>
    <t xml:space="preserve">P1123</t>
  </si>
  <si>
    <t xml:space="preserve">Rodo 40Cm - Fardo 12</t>
  </si>
  <si>
    <t xml:space="preserve">P1156</t>
  </si>
  <si>
    <t xml:space="preserve">Luva Latex - Fardo 12</t>
  </si>
  <si>
    <t xml:space="preserve">P1166</t>
  </si>
  <si>
    <t xml:space="preserve">P1134</t>
  </si>
  <si>
    <t xml:space="preserve">Pano Multiuso - Fardo 6</t>
  </si>
  <si>
    <t xml:space="preserve">P1127</t>
  </si>
  <si>
    <t xml:space="preserve">Balde 20L - Caixa 24</t>
  </si>
  <si>
    <t xml:space="preserve">P1154</t>
  </si>
  <si>
    <t xml:space="preserve">Luva Latex - Caixa 24</t>
  </si>
  <si>
    <t xml:space="preserve">P1146</t>
  </si>
  <si>
    <t xml:space="preserve">P1161</t>
  </si>
  <si>
    <t xml:space="preserve">Bota Pvc - Caixa 24</t>
  </si>
  <si>
    <t xml:space="preserve">P1160</t>
  </si>
  <si>
    <t xml:space="preserve">Carteira de clientes por margem</t>
  </si>
  <si>
    <t xml:space="preserve">Cliente classe A com margem baixa e o caso mais critico da carteira</t>
  </si>
  <si>
    <t xml:space="preserve">Cliente</t>
  </si>
  <si>
    <t xml:space="preserve">Segmento</t>
  </si>
  <si>
    <t xml:space="preserve">Regiao</t>
  </si>
  <si>
    <t xml:space="preserve">Ticket medio</t>
  </si>
  <si>
    <t xml:space="preserve">C2014</t>
  </si>
  <si>
    <t xml:space="preserve">Serrano Servicos Ltda Me</t>
  </si>
  <si>
    <t xml:space="preserve">Mercado</t>
  </si>
  <si>
    <t xml:space="preserve">Interior Norte</t>
  </si>
  <si>
    <t xml:space="preserve">C2086</t>
  </si>
  <si>
    <t xml:space="preserve">Boreal Servicos Ltda Me</t>
  </si>
  <si>
    <t xml:space="preserve">Escola</t>
  </si>
  <si>
    <t xml:space="preserve">Regiao Metropolitana</t>
  </si>
  <si>
    <t xml:space="preserve">C2073</t>
  </si>
  <si>
    <t xml:space="preserve">Querencia Participacoes Eireli</t>
  </si>
  <si>
    <t xml:space="preserve">C2060</t>
  </si>
  <si>
    <t xml:space="preserve">Horizonte Distribuidora S/A</t>
  </si>
  <si>
    <t xml:space="preserve">Condominio</t>
  </si>
  <si>
    <t xml:space="preserve">C2038</t>
  </si>
  <si>
    <t xml:space="preserve">Pampa Alimentos Me</t>
  </si>
  <si>
    <t xml:space="preserve">Padaria</t>
  </si>
  <si>
    <t xml:space="preserve">C2041</t>
  </si>
  <si>
    <t xml:space="preserve">Imperial Servicos S/A</t>
  </si>
  <si>
    <t xml:space="preserve">Clinica</t>
  </si>
  <si>
    <t xml:space="preserve">C2062</t>
  </si>
  <si>
    <t xml:space="preserve">Luminar Alimentos S/A</t>
  </si>
  <si>
    <t xml:space="preserve">Restaurante</t>
  </si>
  <si>
    <t xml:space="preserve">Interior Sul</t>
  </si>
  <si>
    <t xml:space="preserve">C2000</t>
  </si>
  <si>
    <t xml:space="preserve">Vitoria Distribuidora Ltda Me</t>
  </si>
  <si>
    <t xml:space="preserve">Hotel</t>
  </si>
  <si>
    <t xml:space="preserve">C2048</t>
  </si>
  <si>
    <t xml:space="preserve">Oriente Participacoes Ltda</t>
  </si>
  <si>
    <t xml:space="preserve">C2033</t>
  </si>
  <si>
    <t xml:space="preserve">Boreal Negocios Me</t>
  </si>
  <si>
    <t xml:space="preserve">C2044</t>
  </si>
  <si>
    <t xml:space="preserve">Trevo Alimentos Eireli</t>
  </si>
  <si>
    <t xml:space="preserve">C2070</t>
  </si>
  <si>
    <t xml:space="preserve">Trevo Alimentos S/A</t>
  </si>
  <si>
    <t xml:space="preserve">C2005</t>
  </si>
  <si>
    <t xml:space="preserve">Serrano Alimentos Eireli</t>
  </si>
  <si>
    <t xml:space="preserve">C2004</t>
  </si>
  <si>
    <t xml:space="preserve">Estrela Servicos Ltda</t>
  </si>
  <si>
    <t xml:space="preserve">Litoral</t>
  </si>
  <si>
    <t xml:space="preserve">C2027</t>
  </si>
  <si>
    <t xml:space="preserve">Nortao Alimentos S/A</t>
  </si>
  <si>
    <t xml:space="preserve">C2021</t>
  </si>
  <si>
    <t xml:space="preserve">Trevo Empreendimentos Ltda</t>
  </si>
  <si>
    <t xml:space="preserve">C2035</t>
  </si>
  <si>
    <t xml:space="preserve">Querencia Negocios Ltda</t>
  </si>
  <si>
    <t xml:space="preserve">Industria</t>
  </si>
  <si>
    <t xml:space="preserve">C2025</t>
  </si>
  <si>
    <t xml:space="preserve">Vitoria Comercio Ltda</t>
  </si>
  <si>
    <t xml:space="preserve">C2010</t>
  </si>
  <si>
    <t xml:space="preserve">Boreal Comercio Eireli</t>
  </si>
  <si>
    <t xml:space="preserve">C2052</t>
  </si>
  <si>
    <t xml:space="preserve">Zenite Participacoes Me</t>
  </si>
  <si>
    <t xml:space="preserve">C2077</t>
  </si>
  <si>
    <t xml:space="preserve">Uniao Servicos Ltda</t>
  </si>
  <si>
    <t xml:space="preserve">C2084</t>
  </si>
  <si>
    <t xml:space="preserve">Xavante Servicos Eireli</t>
  </si>
  <si>
    <t xml:space="preserve">C2080</t>
  </si>
  <si>
    <t xml:space="preserve">Boreal Industria Ltda</t>
  </si>
  <si>
    <t xml:space="preserve">C2042</t>
  </si>
  <si>
    <t xml:space="preserve">Luminar Participacoes Ltda</t>
  </si>
  <si>
    <t xml:space="preserve">C2028</t>
  </si>
  <si>
    <t xml:space="preserve">Oriente Negocios Ltda Me</t>
  </si>
  <si>
    <t xml:space="preserve">C2069</t>
  </si>
  <si>
    <t xml:space="preserve">Boreal Empreendimentos Ltda</t>
  </si>
  <si>
    <t xml:space="preserve">C2079</t>
  </si>
  <si>
    <t xml:space="preserve">Nortao Industria Me</t>
  </si>
  <si>
    <t xml:space="preserve">C2053</t>
  </si>
  <si>
    <t xml:space="preserve">Estrela Servicos Me</t>
  </si>
  <si>
    <t xml:space="preserve">C2051</t>
  </si>
  <si>
    <t xml:space="preserve">Querencia Distribuidora Ltda Me</t>
  </si>
  <si>
    <t xml:space="preserve">C2043</t>
  </si>
  <si>
    <t xml:space="preserve">Horizonte Negocios Ltda Me</t>
  </si>
  <si>
    <t xml:space="preserve">C2003</t>
  </si>
  <si>
    <t xml:space="preserve">Imperial Servicos Eireli</t>
  </si>
  <si>
    <t xml:space="preserve">C2085</t>
  </si>
  <si>
    <t xml:space="preserve">Central Negocios Me</t>
  </si>
  <si>
    <t xml:space="preserve">C2055</t>
  </si>
  <si>
    <t xml:space="preserve">Oriente Alimentos Me</t>
  </si>
  <si>
    <t xml:space="preserve">C2016</t>
  </si>
  <si>
    <t xml:space="preserve">Trevo Comercio Ltda</t>
  </si>
  <si>
    <t xml:space="preserve">C2074</t>
  </si>
  <si>
    <t xml:space="preserve">Uniao Negocios Ltda</t>
  </si>
  <si>
    <t xml:space="preserve">C2037</t>
  </si>
  <si>
    <t xml:space="preserve">Bandeirante Negocios S/A</t>
  </si>
  <si>
    <t xml:space="preserve">C2013</t>
  </si>
  <si>
    <t xml:space="preserve">Querencia Alimentos Ltda</t>
  </si>
  <si>
    <t xml:space="preserve">C2018</t>
  </si>
  <si>
    <t xml:space="preserve">Guarani Servicos S/A</t>
  </si>
  <si>
    <t xml:space="preserve">C2068</t>
  </si>
  <si>
    <t xml:space="preserve">Uniao Alimentos Eireli</t>
  </si>
  <si>
    <t xml:space="preserve">C2029</t>
  </si>
  <si>
    <t xml:space="preserve">Rio Claro Negocios Ltda</t>
  </si>
  <si>
    <t xml:space="preserve">C2026</t>
  </si>
  <si>
    <t xml:space="preserve">Estrela Negocios Eireli</t>
  </si>
  <si>
    <t xml:space="preserve">C2056</t>
  </si>
  <si>
    <t xml:space="preserve">Zenite Industria Ltda</t>
  </si>
  <si>
    <t xml:space="preserve">C2057</t>
  </si>
  <si>
    <t xml:space="preserve">Oriente Negocios Me</t>
  </si>
  <si>
    <t xml:space="preserve">C2075</t>
  </si>
  <si>
    <t xml:space="preserve">Xavante Negocios Me</t>
  </si>
  <si>
    <t xml:space="preserve">C2083</t>
  </si>
  <si>
    <t xml:space="preserve">Guarani Servicos Ltda Me</t>
  </si>
  <si>
    <t xml:space="preserve">C2059</t>
  </si>
  <si>
    <t xml:space="preserve">Nortao Empreendimentos Ltda Me</t>
  </si>
  <si>
    <t xml:space="preserve">C2020</t>
  </si>
  <si>
    <t xml:space="preserve">Bandeirante Comercio Me</t>
  </si>
  <si>
    <t xml:space="preserve">C2082</t>
  </si>
  <si>
    <t xml:space="preserve">Imperial Empreendimentos Eireli</t>
  </si>
  <si>
    <t xml:space="preserve">C2032</t>
  </si>
  <si>
    <t xml:space="preserve">Aurora Industria Ltda Me</t>
  </si>
  <si>
    <t xml:space="preserve">C2049</t>
  </si>
  <si>
    <t xml:space="preserve">Xavante Empreendimentos Ltda Me</t>
  </si>
  <si>
    <t xml:space="preserve">C2006</t>
  </si>
  <si>
    <t xml:space="preserve">Rio Claro Servicos S/A</t>
  </si>
  <si>
    <t xml:space="preserve">C2089</t>
  </si>
  <si>
    <t xml:space="preserve">Xavante Distribuidora Ltda Me</t>
  </si>
  <si>
    <t xml:space="preserve">C2076</t>
  </si>
  <si>
    <t xml:space="preserve">Trevo Comercio Me</t>
  </si>
  <si>
    <t xml:space="preserve">C2001</t>
  </si>
  <si>
    <t xml:space="preserve">Vitoria Empreendimentos Eireli</t>
  </si>
  <si>
    <t xml:space="preserve">C2046</t>
  </si>
  <si>
    <t xml:space="preserve">Aurora Alimentos S/A</t>
  </si>
  <si>
    <t xml:space="preserve">C2034</t>
  </si>
  <si>
    <t xml:space="preserve">Central Alimentos Ltda Me</t>
  </si>
  <si>
    <t xml:space="preserve">C2015</t>
  </si>
  <si>
    <t xml:space="preserve">Rio Claro Servicos Eireli</t>
  </si>
  <si>
    <t xml:space="preserve">C2040</t>
  </si>
  <si>
    <t xml:space="preserve">Aurora Industria Ltda</t>
  </si>
  <si>
    <t xml:space="preserve">C2023</t>
  </si>
  <si>
    <t xml:space="preserve">Jangada Empreendimentos Me</t>
  </si>
  <si>
    <t xml:space="preserve">C2067</t>
  </si>
  <si>
    <t xml:space="preserve">Alvorada Distribuidora Me</t>
  </si>
  <si>
    <t xml:space="preserve">C2039</t>
  </si>
  <si>
    <t xml:space="preserve">Querencia Empreendimentos Ltda</t>
  </si>
  <si>
    <t xml:space="preserve">C2031</t>
  </si>
  <si>
    <t xml:space="preserve">Aurora Distribuidora Ltda</t>
  </si>
  <si>
    <t xml:space="preserve">C2081</t>
  </si>
  <si>
    <t xml:space="preserve">Querencia Negocios Me</t>
  </si>
  <si>
    <t xml:space="preserve">C2054</t>
  </si>
  <si>
    <t xml:space="preserve">Aurora Negocios Eireli</t>
  </si>
  <si>
    <t xml:space="preserve">C2009</t>
  </si>
  <si>
    <t xml:space="preserve">Aurora Distribuidora Ltda Me</t>
  </si>
  <si>
    <t xml:space="preserve">C2072</t>
  </si>
  <si>
    <t xml:space="preserve">Uniao Alimentos Ltda Me</t>
  </si>
  <si>
    <t xml:space="preserve">C2008</t>
  </si>
  <si>
    <t xml:space="preserve">Zenite Servicos Eireli</t>
  </si>
  <si>
    <t xml:space="preserve">C2036</t>
  </si>
  <si>
    <t xml:space="preserve">Xavante Industria Eireli</t>
  </si>
  <si>
    <t xml:space="preserve">C2030</t>
  </si>
  <si>
    <t xml:space="preserve">Boreal Participacoes Eireli</t>
  </si>
  <si>
    <t xml:space="preserve">C2066</t>
  </si>
  <si>
    <t xml:space="preserve">Horizonte Industria S/A</t>
  </si>
  <si>
    <t xml:space="preserve">C2022</t>
  </si>
  <si>
    <t xml:space="preserve">Guarani Participacoes Ltda Me</t>
  </si>
  <si>
    <t xml:space="preserve">C2088</t>
  </si>
  <si>
    <t xml:space="preserve">Alvorada Servicos Ltda</t>
  </si>
  <si>
    <t xml:space="preserve">C2058</t>
  </si>
  <si>
    <t xml:space="preserve">Jangada Comercio Me</t>
  </si>
  <si>
    <t xml:space="preserve">C2007</t>
  </si>
  <si>
    <t xml:space="preserve">Estrela Negocios S/A</t>
  </si>
  <si>
    <t xml:space="preserve">C2045</t>
  </si>
  <si>
    <t xml:space="preserve">Central Negocios Ltda Me</t>
  </si>
  <si>
    <t xml:space="preserve">C2064</t>
  </si>
  <si>
    <t xml:space="preserve">Imperial Distribuidora Ltda</t>
  </si>
  <si>
    <t xml:space="preserve">C2050</t>
  </si>
  <si>
    <t xml:space="preserve">Uniao Comercio Eireli</t>
  </si>
  <si>
    <t xml:space="preserve">C2061</t>
  </si>
  <si>
    <t xml:space="preserve">Imperial Distribuidora S/A</t>
  </si>
  <si>
    <t xml:space="preserve">C2011</t>
  </si>
  <si>
    <t xml:space="preserve">Pampa Participacoes Me</t>
  </si>
  <si>
    <t xml:space="preserve">C2019</t>
  </si>
  <si>
    <t xml:space="preserve">Nortao Industria Ltda</t>
  </si>
  <si>
    <t xml:space="preserve">C2012</t>
  </si>
  <si>
    <t xml:space="preserve">Uniao Servicos S/A</t>
  </si>
  <si>
    <t xml:space="preserve">C2017</t>
  </si>
  <si>
    <t xml:space="preserve">Estrela Industria Eireli</t>
  </si>
  <si>
    <t xml:space="preserve">C2087</t>
  </si>
  <si>
    <t xml:space="preserve">Missoes Empreendimentos Me</t>
  </si>
  <si>
    <t xml:space="preserve">C2071</t>
  </si>
  <si>
    <t xml:space="preserve">Missoes Participacoes Ltda Me</t>
  </si>
  <si>
    <t xml:space="preserve">C2002</t>
  </si>
  <si>
    <t xml:space="preserve">Estrela Comercio S/A</t>
  </si>
  <si>
    <t xml:space="preserve">C2047</t>
  </si>
  <si>
    <t xml:space="preserve">Luminar Distribuidora Eireli</t>
  </si>
  <si>
    <t xml:space="preserve">C2024</t>
  </si>
  <si>
    <t xml:space="preserve">Zenite Empreendimentos Me</t>
  </si>
  <si>
    <t xml:space="preserve">C2065</t>
  </si>
  <si>
    <t xml:space="preserve">Horizonte Distribuidora Me</t>
  </si>
  <si>
    <t xml:space="preserve">C2063</t>
  </si>
  <si>
    <t xml:space="preserve">Horizonte Negocios Eireli</t>
  </si>
  <si>
    <t xml:space="preserve">C2078</t>
  </si>
  <si>
    <t xml:space="preserve">Uniao Participacoes Ltda</t>
  </si>
  <si>
    <t xml:space="preserve">Custo da politica de frete gratis</t>
  </si>
  <si>
    <t xml:space="preserve">A ultima coluna mostra a margem que existiria sem o subsidio</t>
  </si>
  <si>
    <t xml:space="preserve">Custo de entrega</t>
  </si>
  <si>
    <t xml:space="preserve">Frete cobrado</t>
  </si>
  <si>
    <t xml:space="preserve">Subsidio sobre receita %</t>
  </si>
  <si>
    <t xml:space="preserve">Margem sem o subsidio</t>
  </si>
  <si>
    <t xml:space="preserve">Margem por faixa de desconto concedido</t>
  </si>
  <si>
    <t xml:space="preserve">Identifica o ponto em que o desconto passa a destruir resultado</t>
  </si>
  <si>
    <t xml:space="preserve">Faixa de desconto</t>
  </si>
  <si>
    <t xml:space="preserve">Itens vendidos</t>
  </si>
  <si>
    <t xml:space="preserve">0 a 5%</t>
  </si>
  <si>
    <t xml:space="preserve">5 a 10%</t>
  </si>
  <si>
    <t xml:space="preserve">10 a 15%</t>
  </si>
  <si>
    <t xml:space="preserve">15 a 20%</t>
  </si>
  <si>
    <t xml:space="preserve">20 a 100%</t>
  </si>
  <si>
    <t xml:space="preserve">Receita e margem mes a mes</t>
  </si>
  <si>
    <t xml:space="preserve">Mes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</si>
  <si>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</si>
  <si>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</si>
  <si>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</si>
  <si>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</si>
  <si>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</si>
  <si>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</si>
  <si>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</si>
  <si>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</si>
  <si>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</si>
  <si>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</si>
  <si>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</si>
  <si>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</si>
  <si>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Correcoes aplicadas na base recebida</t>
  </si>
  <si>
    <t xml:space="preserve">Nenhum registro foi alterado sem constar nesta lista</t>
  </si>
  <si>
    <t xml:space="preserve">Etapa</t>
  </si>
  <si>
    <t xml:space="preserve">Problema encontrado</t>
  </si>
  <si>
    <t xml:space="preserve">Registros</t>
  </si>
  <si>
    <t xml:space="preserve">Acao tomada</t>
  </si>
  <si>
    <t xml:space="preserve">vendas</t>
  </si>
  <si>
    <t xml:space="preserve">Chave pedido mais item repetida na exportacao</t>
  </si>
  <si>
    <t xml:space="preserve">removidas, mantida a primeira ocorrencia</t>
  </si>
  <si>
    <t xml:space="preserve">Pedidos com status cancelado</t>
  </si>
  <si>
    <t xml:space="preserve">excluidos da analise de margem</t>
  </si>
  <si>
    <t xml:space="preserve">Quantidade negativa sem sinalizacao de devolucao</t>
  </si>
  <si>
    <t xml:space="preserve">marcadas como DEVOLUCAO em coluna propria</t>
  </si>
  <si>
    <t xml:space="preserve">integridade</t>
  </si>
  <si>
    <t xml:space="preserve">Pedidos com cliente ausente no cadastro</t>
  </si>
  <si>
    <t xml:space="preserve">reclassificados como CLIENTE NAO IDENTIFICADO</t>
  </si>
  <si>
    <t xml:space="preserve">produtos</t>
  </si>
  <si>
    <t xml:space="preserve">Produtos sem custo de compra cadastrado</t>
  </si>
  <si>
    <t xml:space="preserve">receita mantida, margem sinalizada como indisponivel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</si>
</sst>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;[RED]&quot;-R$ &quot;#,##0;\-"/>
    <numFmt numFmtId="166" formatCode="0.0\%;[RED]\-0.0\%;\-"/>
    <numFmt numFmtId="167" formatCode="&quot;R$ &quot;#,##0.00;[RED]&quot;-R$ &quot;#,##0.00;\-"/>
    <numFmt numFmtId="168" formatCode="#,##0;\-#,##0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1"/>
      <color rgb="FF59595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Categorias" displayName="TabelaCategorias" ref="A4:H9" headerRowCount="1" totalsRowCount="0" totalsRowShown="0">
  <autoFilter ref="A4:H9"/>
  <tableColumns count="8">
    <tableColumn id="1" name="Categoria"/>
    <tableColumn id="2" name="Receita"/>
    <tableColumn id="3" name="Margem de contribuicao"/>
    <tableColumn id="4" name="Margem %"/>
    <tableColumn id="5" name="Frete subsidiado"/>
    <tableColumn id="6" name="Participacao %"/>
    <tableColumn id="7" name="Pedidos"/>
    <tableColumn id="8" name="Situacao"/>
  </tableColumns>
</table>
</file>

<file path=xl/tables/table2.xml><?xml version="1.0" encoding="utf-8"?>
<table xmlns="http://schemas.openxmlformats.org/spreadsheetml/2006/main" id="2" name="TabelaClientes" displayName="TabelaClientes" ref="A4:L94" headerRowCount="1" totalsRowCount="0" totalsRowShown="0">
  <autoFilter ref="A4:L94"/>
  <tableColumns count="12">
    <tableColumn id="1" name="Codigo"/>
    <tableColumn id="2" name="Cliente"/>
    <tableColumn id="3" name="Segmento"/>
    <tableColumn id="4" name="Regiao"/>
    <tableColumn id="5" name="Classe ABC"/>
    <tableColumn id="6" name="Receita"/>
    <tableColumn id="7" name="Margem de contribuicao"/>
    <tableColumn id="8" name="Margem %"/>
    <tableColumn id="9" name="Ticket medio"/>
    <tableColumn id="10" name="Desconto medio %"/>
    <tableColumn id="11" name="Frete subsidiado"/>
    <tableColumn id="12" name="Pedidos"/>
  </tableColumns>
</table>
</file>

<file path=xl/tables/table3.xml><?xml version="1.0" encoding="utf-8"?>
<table xmlns="http://schemas.openxmlformats.org/spreadsheetml/2006/main" id="3" name="TabelaDesconto" displayName="TabelaDesconto" ref="A4:E9" headerRowCount="1" totalsRowCount="0" totalsRowShown="0">
  <autoFilter ref="A4:E9"/>
  <tableColumns count="5">
    <tableColumn id="1" name="Faixa de desconto"/>
    <tableColumn id="2" name="Receita"/>
    <tableColumn id="3" name="Margem de contribuicao"/>
    <tableColumn id="4" name="Itens vendidos"/>
    <tableColumn id="5" name="Margem %"/>
  </tableColumns>
</table>
</file>

<file path=xl/tables/table4.xml><?xml version="1.0" encoding="utf-8"?>
<table xmlns="http://schemas.openxmlformats.org/spreadsheetml/2006/main" id="4" name="TabelaEvolucao" displayName="TabelaEvolucao" ref="A3:F15" headerRowCount="1" totalsRowCount="0" totalsRowShown="0">
  <autoFilter ref="A3:F15"/>
  <tableColumns count="6">
    <tableColumn id="1" name="Mes"/>
    <tableColumn id="2" name="Receita"/>
    <tableColumn id="3" name="Margem de contribuicao"/>
    <tableColumn id="4" name="Pedidos"/>
    <tableColumn id="5" name="Margem %"/>
    <tableColumn id="6" name="Ticket medio"/>
  </tableColumns>
</table>
</file>

<file path=xl/tables/table5.xml><?xml version="1.0" encoding="utf-8"?>
<table xmlns="http://schemas.openxmlformats.org/spreadsheetml/2006/main" id="5" name="TabelaFrete" displayName="TabelaFrete" ref="A4:H9" headerRowCount="1" totalsRowCount="0" totalsRowShown="0">
  <autoFilter ref="A4:H9"/>
  <tableColumns count="8">
    <tableColumn id="1" name="Categoria"/>
    <tableColumn id="2" name="Receita"/>
    <tableColumn id="3" name="Custo de entrega"/>
    <tableColumn id="4" name="Frete cobrado"/>
    <tableColumn id="5" name="Frete subsidiado"/>
    <tableColumn id="6" name="Subsidio sobre receita %"/>
    <tableColumn id="7" name="Margem de contribuicao"/>
    <tableColumn id="8" name="Margem sem o subsidio"/>
  </tableColumns>
</table>
</file>

<file path=xl/tables/table6.xml><?xml version="1.0" encoding="utf-8"?>
<table xmlns="http://schemas.openxmlformats.org/spreadsheetml/2006/main" id="6" name="TabelaPrejuizo" displayName="TabelaPrejuizo" ref="A4:I44" headerRowCount="1" totalsRowCount="0" totalsRowShown="0">
  <autoFilter ref="A4:I44"/>
  <tableColumns count="9">
    <tableColumn id="1" name="Codigo"/>
    <tableColumn id="2" name="Produto"/>
    <tableColumn id="3" name="Categoria"/>
    <tableColumn id="4" name="Receita"/>
    <tableColumn id="5" name="Margem de contribuicao"/>
    <tableColumn id="6" name="Margem %"/>
    <tableColumn id="7" name="Quantidade"/>
    <tableColumn id="8" name="Desconto medio %"/>
    <tableColumn id="9" name="Pedidos"/>
  </tableColumns>
</table>
</file>

<file path=xl/tables/table7.xml><?xml version="1.0" encoding="utf-8"?>
<table xmlns="http://schemas.openxmlformats.org/spreadsheetml/2006/main" id="7" name="TabelaProdutos" displayName="TabelaProdutos" ref="A4:K169" headerRowCount="1" totalsRowCount="0" totalsRowShown="0">
  <autoFilter ref="A4:K169"/>
  <tableColumns count="11">
    <tableColumn id="1" name="Codigo"/>
    <tableColumn id="2" name="Produto"/>
    <tableColumn id="3" name="Categoria"/>
    <tableColumn id="4" name="Classe ABC"/>
    <tableColumn id="5" name="Receita"/>
    <tableColumn id="6" name="Receita acumulada %"/>
    <tableColumn id="7" name="Margem de contribuicao"/>
    <tableColumn id="8" name="Margem %"/>
    <tableColumn id="9" name="Quantidade"/>
    <tableColumn id="10" name="Desconto medio %"/>
    <tableColumn id="11" name="Situacao"/>
  </tableColumns>
</table>
</file>

<file path=xl/tables/table8.xml><?xml version="1.0" encoding="utf-8"?>
<table xmlns="http://schemas.openxmlformats.org/spreadsheetml/2006/main" id="8" name="TabelaQualidade" displayName="TabelaQualidade" ref="A4:D9" headerRowCount="1" totalsRowCount="0" totalsRowShown="0">
  <autoFilter ref="A4:D9"/>
  <tableColumns count="4">
    <tableColumn id="1" name="Etapa"/>
    <tableColumn id="2" name="Problema encontrado"/>
    <tableColumn id="3" name="Registros"/>
    <tableColumn id="4" name="Acao tomad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22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  <c r="C6" s="5"/>
    </row>
    <row r="7" customFormat="false" ht="15" hidden="false" customHeight="false" outlineLevel="0" collapsed="false">
      <c r="B7" s="6" t="s">
        <v>4</v>
      </c>
      <c r="C7" s="7" t="n">
        <f aca="false">SUM(Categorias!B5:B9)</f>
        <v>972782.21</v>
      </c>
    </row>
    <row r="8" customFormat="false" ht="15" hidden="false" customHeight="false" outlineLevel="0" collapsed="false">
      <c r="B8" s="6" t="s">
        <v>5</v>
      </c>
      <c r="C8" s="7" t="n">
        <f aca="false">SUM(Categorias!C5:C9)</f>
        <v>123014.88</v>
      </c>
    </row>
    <row r="9" customFormat="false" ht="15" hidden="false" customHeight="false" outlineLevel="0" collapsed="false">
      <c r="B9" s="6" t="s">
        <v>6</v>
      </c>
      <c r="C9" s="8" t="n">
        <f aca="false">IFERROR(C8/C7*100,0)</f>
        <v>12.6456753356951</v>
      </c>
    </row>
    <row r="10" customFormat="false" ht="15" hidden="false" customHeight="false" outlineLevel="0" collapsed="false">
      <c r="B10" s="6" t="s">
        <v>7</v>
      </c>
      <c r="C10" s="7" t="n">
        <f aca="false">SUM(Categorias!E5:E9)</f>
        <v>62997.6</v>
      </c>
    </row>
    <row r="12" customFormat="false" ht="15" hidden="false" customHeight="false" outlineLevel="0" collapsed="false">
      <c r="B12" s="4" t="s">
        <v>8</v>
      </c>
      <c r="C12" s="5"/>
    </row>
    <row r="13" customFormat="false" ht="21.75" hidden="false" customHeight="true" outlineLevel="0" collapsed="false">
      <c r="B13" s="9" t="s">
        <v>9</v>
      </c>
      <c r="C13" s="10" t="n">
        <v>-19326.49</v>
      </c>
    </row>
    <row r="14" customFormat="false" ht="21.75" hidden="false" customHeight="true" outlineLevel="0" collapsed="false">
      <c r="B14" s="9" t="s">
        <v>10</v>
      </c>
      <c r="C14" s="10" t="n">
        <v>227036.44</v>
      </c>
    </row>
    <row r="15" customFormat="false" ht="21.75" hidden="false" customHeight="true" outlineLevel="0" collapsed="false">
      <c r="B15" s="9" t="s">
        <v>11</v>
      </c>
      <c r="C15" s="10" t="n">
        <v>62997.6</v>
      </c>
    </row>
    <row r="17" customFormat="false" ht="15" hidden="false" customHeight="false" outlineLevel="0" collapsed="false">
      <c r="B17" s="11" t="s">
        <v>12</v>
      </c>
    </row>
    <row r="18" customFormat="false" ht="42" hidden="false" customHeight="true" outlineLevel="0" collapsed="false">
      <c r="B18" s="12" t="s">
        <v>13</v>
      </c>
    </row>
    <row r="19" customFormat="false" ht="42" hidden="false" customHeight="true" outlineLevel="0" collapsed="false">
      <c r="B19" s="12" t="s">
        <v>14</v>
      </c>
    </row>
    <row r="20" customFormat="false" ht="42" hidden="false" customHeight="true" outlineLevel="0" collapsed="false">
      <c r="B20" s="12" t="s">
        <v>15</v>
      </c>
    </row>
    <row r="21" customFormat="false" ht="42" hidden="false" customHeight="true" outlineLevel="0" collapsed="false">
      <c r="B21" s="12" t="s">
        <v>16</v>
      </c>
    </row>
    <row r="23" customFormat="false" ht="15" hidden="false" customHeight="false" outlineLevel="0" collapsed="false">
      <c r="B23" s="1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2"/>
    <col collapsed="false" customWidth="true" hidden="false" outlineLevel="0" max="5" min="5" style="0" width="19"/>
    <col collapsed="false" customWidth="true" hidden="false" outlineLevel="0" max="6" min="6" style="0" width="17"/>
    <col collapsed="false" customWidth="true" hidden="false" outlineLevel="0" max="8" min="7" style="0" width="12"/>
  </cols>
  <sheetData>
    <row r="1" customFormat="false" ht="17.35" hidden="false" customHeight="false" outlineLevel="0" collapsed="false">
      <c r="A1" s="14" t="s">
        <v>18</v>
      </c>
    </row>
    <row r="2" customFormat="false" ht="15" hidden="false" customHeight="false" outlineLevel="0" collapsed="false">
      <c r="A2" s="3" t="s">
        <v>19</v>
      </c>
    </row>
    <row r="4" customFormat="false" ht="15" hidden="false" customHeight="false" outlineLevel="0" collapsed="false">
      <c r="A4" s="15" t="s">
        <v>20</v>
      </c>
      <c r="B4" s="15" t="s">
        <v>21</v>
      </c>
      <c r="C4" s="15" t="s">
        <v>5</v>
      </c>
      <c r="D4" s="15" t="s">
        <v>22</v>
      </c>
      <c r="E4" s="15" t="s">
        <v>23</v>
      </c>
      <c r="F4" s="15" t="s">
        <v>24</v>
      </c>
      <c r="G4" s="15" t="s">
        <v>25</v>
      </c>
      <c r="H4" s="15" t="s">
        <v>26</v>
      </c>
    </row>
    <row r="5" customFormat="false" ht="15" hidden="false" customHeight="false" outlineLevel="0" collapsed="false">
      <c r="A5" s="6" t="s">
        <v>27</v>
      </c>
      <c r="B5" s="16" t="n">
        <v>227036.44</v>
      </c>
      <c r="C5" s="16" t="n">
        <v>-19326.49</v>
      </c>
      <c r="D5" s="17" t="n">
        <v>-8.5</v>
      </c>
      <c r="E5" s="16" t="n">
        <v>17086.75</v>
      </c>
      <c r="F5" s="17" t="n">
        <v>23.3</v>
      </c>
      <c r="G5" s="18" t="n">
        <v>1180</v>
      </c>
      <c r="H5" s="19" t="s">
        <v>28</v>
      </c>
    </row>
    <row r="6" customFormat="false" ht="15" hidden="false" customHeight="false" outlineLevel="0" collapsed="false">
      <c r="A6" s="20" t="s">
        <v>29</v>
      </c>
      <c r="B6" s="21" t="n">
        <v>44109.56</v>
      </c>
      <c r="C6" s="21" t="n">
        <v>10593.47</v>
      </c>
      <c r="D6" s="22" t="n">
        <v>24</v>
      </c>
      <c r="E6" s="21" t="n">
        <v>2939.43</v>
      </c>
      <c r="F6" s="22" t="n">
        <v>4.5</v>
      </c>
      <c r="G6" s="23" t="n">
        <v>385</v>
      </c>
      <c r="H6" s="24" t="s">
        <v>30</v>
      </c>
    </row>
    <row r="7" customFormat="false" ht="15" hidden="false" customHeight="false" outlineLevel="0" collapsed="false">
      <c r="A7" s="6" t="s">
        <v>31</v>
      </c>
      <c r="B7" s="16" t="n">
        <v>99556.51</v>
      </c>
      <c r="C7" s="16" t="n">
        <v>27529.25</v>
      </c>
      <c r="D7" s="17" t="n">
        <v>27.7</v>
      </c>
      <c r="E7" s="16" t="n">
        <v>6216.78</v>
      </c>
      <c r="F7" s="17" t="n">
        <v>10.2</v>
      </c>
      <c r="G7" s="18" t="n">
        <v>543</v>
      </c>
      <c r="H7" s="25" t="s">
        <v>30</v>
      </c>
    </row>
    <row r="8" customFormat="false" ht="15" hidden="false" customHeight="false" outlineLevel="0" collapsed="false">
      <c r="A8" s="20" t="s">
        <v>32</v>
      </c>
      <c r="B8" s="21" t="n">
        <v>308788.71</v>
      </c>
      <c r="C8" s="21" t="n">
        <v>43291.95</v>
      </c>
      <c r="D8" s="22" t="n">
        <v>14</v>
      </c>
      <c r="E8" s="21" t="n">
        <v>19168.63</v>
      </c>
      <c r="F8" s="22" t="n">
        <v>31.7</v>
      </c>
      <c r="G8" s="23" t="n">
        <v>899</v>
      </c>
      <c r="H8" s="26" t="s">
        <v>33</v>
      </c>
    </row>
    <row r="9" customFormat="false" ht="15" hidden="false" customHeight="false" outlineLevel="0" collapsed="false">
      <c r="A9" s="6" t="s">
        <v>34</v>
      </c>
      <c r="B9" s="16" t="n">
        <v>293290.99</v>
      </c>
      <c r="C9" s="16" t="n">
        <v>60926.7</v>
      </c>
      <c r="D9" s="17" t="n">
        <v>20.8</v>
      </c>
      <c r="E9" s="16" t="n">
        <v>17586.01</v>
      </c>
      <c r="F9" s="17" t="n">
        <v>30.1</v>
      </c>
      <c r="G9" s="18" t="n">
        <v>1103</v>
      </c>
      <c r="H9" s="25" t="s">
        <v>30</v>
      </c>
    </row>
    <row r="10" customFormat="false" ht="15" hidden="false" customHeight="false" outlineLevel="0" collapsed="false">
      <c r="A10" s="27" t="s">
        <v>35</v>
      </c>
      <c r="B10" s="28" t="n">
        <f aca="false">SUM(B5:B9)</f>
        <v>972782.21</v>
      </c>
      <c r="C10" s="28" t="n">
        <f aca="false">SUM(C5:C9)</f>
        <v>123014.88</v>
      </c>
      <c r="E10" s="28" t="n">
        <f aca="false">SUM(E5:E9)</f>
        <v>62997.6</v>
      </c>
      <c r="G10" s="29" t="n">
        <f aca="false">SUM(G5:G9)</f>
        <v>4110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1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25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9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4" t="s">
        <v>36</v>
      </c>
    </row>
    <row r="2" customFormat="false" ht="15" hidden="false" customHeight="false" outlineLevel="0" collapsed="false">
      <c r="A2" s="3" t="s">
        <v>37</v>
      </c>
    </row>
    <row r="4" customFormat="false" ht="15" hidden="false" customHeight="false" outlineLevel="0" collapsed="false">
      <c r="A4" s="15" t="s">
        <v>38</v>
      </c>
      <c r="B4" s="15" t="s">
        <v>39</v>
      </c>
      <c r="C4" s="15" t="s">
        <v>20</v>
      </c>
      <c r="D4" s="15" t="s">
        <v>21</v>
      </c>
      <c r="E4" s="15" t="s">
        <v>5</v>
      </c>
      <c r="F4" s="15" t="s">
        <v>22</v>
      </c>
      <c r="G4" s="15" t="s">
        <v>40</v>
      </c>
      <c r="H4" s="15" t="s">
        <v>41</v>
      </c>
      <c r="I4" s="15" t="s">
        <v>25</v>
      </c>
    </row>
    <row r="5" customFormat="false" ht="15" hidden="false" customHeight="false" outlineLevel="0" collapsed="false">
      <c r="A5" s="6" t="s">
        <v>42</v>
      </c>
      <c r="B5" s="6" t="s">
        <v>43</v>
      </c>
      <c r="C5" s="6" t="s">
        <v>27</v>
      </c>
      <c r="D5" s="16" t="n">
        <v>10054.14</v>
      </c>
      <c r="E5" s="16" t="n">
        <v>-1334.68</v>
      </c>
      <c r="F5" s="17" t="n">
        <v>-13.3</v>
      </c>
      <c r="G5" s="18" t="n">
        <v>296</v>
      </c>
      <c r="H5" s="17" t="n">
        <v>8.6</v>
      </c>
      <c r="I5" s="18" t="n">
        <v>51</v>
      </c>
    </row>
    <row r="6" customFormat="false" ht="15" hidden="false" customHeight="false" outlineLevel="0" collapsed="false">
      <c r="A6" s="20" t="s">
        <v>44</v>
      </c>
      <c r="B6" s="20" t="s">
        <v>45</v>
      </c>
      <c r="C6" s="20" t="s">
        <v>27</v>
      </c>
      <c r="D6" s="21" t="n">
        <v>11210.76</v>
      </c>
      <c r="E6" s="21" t="n">
        <v>-1112.79</v>
      </c>
      <c r="F6" s="22" t="n">
        <v>-9.9</v>
      </c>
      <c r="G6" s="23" t="n">
        <v>329</v>
      </c>
      <c r="H6" s="22" t="n">
        <v>8.4</v>
      </c>
      <c r="I6" s="23" t="n">
        <v>60</v>
      </c>
    </row>
    <row r="7" customFormat="false" ht="15" hidden="false" customHeight="false" outlineLevel="0" collapsed="false">
      <c r="A7" s="6" t="s">
        <v>46</v>
      </c>
      <c r="B7" s="6" t="s">
        <v>47</v>
      </c>
      <c r="C7" s="6" t="s">
        <v>27</v>
      </c>
      <c r="D7" s="16" t="n">
        <v>9923.38</v>
      </c>
      <c r="E7" s="16" t="n">
        <v>-1021.82</v>
      </c>
      <c r="F7" s="17" t="n">
        <v>-10.3</v>
      </c>
      <c r="G7" s="18" t="n">
        <v>303</v>
      </c>
      <c r="H7" s="17" t="n">
        <v>7.9</v>
      </c>
      <c r="I7" s="18" t="n">
        <v>46</v>
      </c>
    </row>
    <row r="8" customFormat="false" ht="15" hidden="false" customHeight="false" outlineLevel="0" collapsed="false">
      <c r="A8" s="20" t="s">
        <v>48</v>
      </c>
      <c r="B8" s="20" t="s">
        <v>49</v>
      </c>
      <c r="C8" s="20" t="s">
        <v>27</v>
      </c>
      <c r="D8" s="21" t="n">
        <v>11268.27</v>
      </c>
      <c r="E8" s="21" t="n">
        <v>-989.02</v>
      </c>
      <c r="F8" s="22" t="n">
        <v>-8.8</v>
      </c>
      <c r="G8" s="23" t="n">
        <v>327</v>
      </c>
      <c r="H8" s="22" t="n">
        <v>8</v>
      </c>
      <c r="I8" s="23" t="n">
        <v>52</v>
      </c>
    </row>
    <row r="9" customFormat="false" ht="15" hidden="false" customHeight="false" outlineLevel="0" collapsed="false">
      <c r="A9" s="6" t="s">
        <v>50</v>
      </c>
      <c r="B9" s="6" t="s">
        <v>51</v>
      </c>
      <c r="C9" s="6" t="s">
        <v>27</v>
      </c>
      <c r="D9" s="16" t="n">
        <v>6833.96</v>
      </c>
      <c r="E9" s="16" t="n">
        <v>-956.82</v>
      </c>
      <c r="F9" s="17" t="n">
        <v>-14</v>
      </c>
      <c r="G9" s="18" t="n">
        <v>268</v>
      </c>
      <c r="H9" s="17" t="n">
        <v>8.9</v>
      </c>
      <c r="I9" s="18" t="n">
        <v>48</v>
      </c>
    </row>
    <row r="10" customFormat="false" ht="15" hidden="false" customHeight="false" outlineLevel="0" collapsed="false">
      <c r="A10" s="20" t="s">
        <v>52</v>
      </c>
      <c r="B10" s="20" t="s">
        <v>53</v>
      </c>
      <c r="C10" s="20" t="s">
        <v>27</v>
      </c>
      <c r="D10" s="21" t="n">
        <v>7974.93</v>
      </c>
      <c r="E10" s="21" t="n">
        <v>-907.5</v>
      </c>
      <c r="F10" s="22" t="n">
        <v>-11.4</v>
      </c>
      <c r="G10" s="23" t="n">
        <v>251</v>
      </c>
      <c r="H10" s="22" t="n">
        <v>7.4</v>
      </c>
      <c r="I10" s="23" t="n">
        <v>51</v>
      </c>
    </row>
    <row r="11" customFormat="false" ht="15" hidden="false" customHeight="false" outlineLevel="0" collapsed="false">
      <c r="A11" s="6" t="s">
        <v>54</v>
      </c>
      <c r="B11" s="6" t="s">
        <v>55</v>
      </c>
      <c r="C11" s="6" t="s">
        <v>27</v>
      </c>
      <c r="D11" s="16" t="n">
        <v>8498.26</v>
      </c>
      <c r="E11" s="16" t="n">
        <v>-813.54</v>
      </c>
      <c r="F11" s="17" t="n">
        <v>-9.6</v>
      </c>
      <c r="G11" s="18" t="n">
        <v>230</v>
      </c>
      <c r="H11" s="17" t="n">
        <v>9</v>
      </c>
      <c r="I11" s="18" t="n">
        <v>42</v>
      </c>
    </row>
    <row r="12" customFormat="false" ht="15" hidden="false" customHeight="false" outlineLevel="0" collapsed="false">
      <c r="A12" s="20" t="s">
        <v>56</v>
      </c>
      <c r="B12" s="20" t="s">
        <v>57</v>
      </c>
      <c r="C12" s="20" t="s">
        <v>27</v>
      </c>
      <c r="D12" s="21" t="n">
        <v>11689.27</v>
      </c>
      <c r="E12" s="21" t="n">
        <v>-781.04</v>
      </c>
      <c r="F12" s="22" t="n">
        <v>-6.7</v>
      </c>
      <c r="G12" s="23" t="n">
        <v>303</v>
      </c>
      <c r="H12" s="22" t="n">
        <v>8.2</v>
      </c>
      <c r="I12" s="23" t="n">
        <v>41</v>
      </c>
    </row>
    <row r="13" customFormat="false" ht="15" hidden="false" customHeight="false" outlineLevel="0" collapsed="false">
      <c r="A13" s="6" t="s">
        <v>58</v>
      </c>
      <c r="B13" s="6" t="s">
        <v>59</v>
      </c>
      <c r="C13" s="6" t="s">
        <v>27</v>
      </c>
      <c r="D13" s="16" t="n">
        <v>9515.4</v>
      </c>
      <c r="E13" s="16" t="n">
        <v>-640.93</v>
      </c>
      <c r="F13" s="17" t="n">
        <v>-6.7</v>
      </c>
      <c r="G13" s="18" t="n">
        <v>276</v>
      </c>
      <c r="H13" s="17" t="n">
        <v>8.5</v>
      </c>
      <c r="I13" s="18" t="n">
        <v>47</v>
      </c>
    </row>
    <row r="14" customFormat="false" ht="15" hidden="false" customHeight="false" outlineLevel="0" collapsed="false">
      <c r="A14" s="20" t="s">
        <v>60</v>
      </c>
      <c r="B14" s="20" t="s">
        <v>61</v>
      </c>
      <c r="C14" s="20" t="s">
        <v>27</v>
      </c>
      <c r="D14" s="21" t="n">
        <v>5322.64</v>
      </c>
      <c r="E14" s="21" t="n">
        <v>-560.03</v>
      </c>
      <c r="F14" s="22" t="n">
        <v>-10.5</v>
      </c>
      <c r="G14" s="23" t="n">
        <v>319</v>
      </c>
      <c r="H14" s="22" t="n">
        <v>7</v>
      </c>
      <c r="I14" s="23" t="n">
        <v>57</v>
      </c>
    </row>
    <row r="15" customFormat="false" ht="15" hidden="false" customHeight="false" outlineLevel="0" collapsed="false">
      <c r="A15" s="6" t="s">
        <v>62</v>
      </c>
      <c r="B15" s="6" t="s">
        <v>63</v>
      </c>
      <c r="C15" s="6" t="s">
        <v>27</v>
      </c>
      <c r="D15" s="16" t="n">
        <v>4985.32</v>
      </c>
      <c r="E15" s="16" t="n">
        <v>-558.89</v>
      </c>
      <c r="F15" s="17" t="n">
        <v>-11.2</v>
      </c>
      <c r="G15" s="18" t="n">
        <v>169</v>
      </c>
      <c r="H15" s="17" t="n">
        <v>7.8</v>
      </c>
      <c r="I15" s="18" t="n">
        <v>41</v>
      </c>
    </row>
    <row r="16" customFormat="false" ht="15" hidden="false" customHeight="false" outlineLevel="0" collapsed="false">
      <c r="A16" s="20" t="s">
        <v>64</v>
      </c>
      <c r="B16" s="20" t="s">
        <v>65</v>
      </c>
      <c r="C16" s="20" t="s">
        <v>27</v>
      </c>
      <c r="D16" s="21" t="n">
        <v>4584.32</v>
      </c>
      <c r="E16" s="21" t="n">
        <v>-541.13</v>
      </c>
      <c r="F16" s="22" t="n">
        <v>-11.8</v>
      </c>
      <c r="G16" s="23" t="n">
        <v>382</v>
      </c>
      <c r="H16" s="22" t="n">
        <v>7.5</v>
      </c>
      <c r="I16" s="23" t="n">
        <v>54</v>
      </c>
    </row>
    <row r="17" customFormat="false" ht="15" hidden="false" customHeight="false" outlineLevel="0" collapsed="false">
      <c r="A17" s="6" t="s">
        <v>66</v>
      </c>
      <c r="B17" s="6" t="s">
        <v>67</v>
      </c>
      <c r="C17" s="6" t="s">
        <v>27</v>
      </c>
      <c r="D17" s="16" t="n">
        <v>4637.51</v>
      </c>
      <c r="E17" s="16" t="n">
        <v>-531.54</v>
      </c>
      <c r="F17" s="17" t="n">
        <v>-11.5</v>
      </c>
      <c r="G17" s="18" t="n">
        <v>241</v>
      </c>
      <c r="H17" s="17" t="n">
        <v>7.2</v>
      </c>
      <c r="I17" s="18" t="n">
        <v>46</v>
      </c>
    </row>
    <row r="18" customFormat="false" ht="15" hidden="false" customHeight="false" outlineLevel="0" collapsed="false">
      <c r="A18" s="20" t="s">
        <v>68</v>
      </c>
      <c r="B18" s="20" t="s">
        <v>69</v>
      </c>
      <c r="C18" s="20" t="s">
        <v>27</v>
      </c>
      <c r="D18" s="21" t="n">
        <v>9060.59</v>
      </c>
      <c r="E18" s="21" t="n">
        <v>-523.12</v>
      </c>
      <c r="F18" s="22" t="n">
        <v>-5.8</v>
      </c>
      <c r="G18" s="23" t="n">
        <v>284</v>
      </c>
      <c r="H18" s="22" t="n">
        <v>7.9</v>
      </c>
      <c r="I18" s="23" t="n">
        <v>55</v>
      </c>
    </row>
    <row r="19" customFormat="false" ht="15" hidden="false" customHeight="false" outlineLevel="0" collapsed="false">
      <c r="A19" s="6" t="s">
        <v>70</v>
      </c>
      <c r="B19" s="6" t="s">
        <v>71</v>
      </c>
      <c r="C19" s="6" t="s">
        <v>27</v>
      </c>
      <c r="D19" s="16" t="n">
        <v>6873.38</v>
      </c>
      <c r="E19" s="16" t="n">
        <v>-508.69</v>
      </c>
      <c r="F19" s="17" t="n">
        <v>-7.4</v>
      </c>
      <c r="G19" s="18" t="n">
        <v>171</v>
      </c>
      <c r="H19" s="17" t="n">
        <v>7.6</v>
      </c>
      <c r="I19" s="18" t="n">
        <v>40</v>
      </c>
    </row>
    <row r="20" customFormat="false" ht="15" hidden="false" customHeight="false" outlineLevel="0" collapsed="false">
      <c r="A20" s="20" t="s">
        <v>72</v>
      </c>
      <c r="B20" s="20" t="s">
        <v>73</v>
      </c>
      <c r="C20" s="20" t="s">
        <v>27</v>
      </c>
      <c r="D20" s="21" t="n">
        <v>9764.85</v>
      </c>
      <c r="E20" s="21" t="n">
        <v>-504.42</v>
      </c>
      <c r="F20" s="22" t="n">
        <v>-5.2</v>
      </c>
      <c r="G20" s="23" t="n">
        <v>350</v>
      </c>
      <c r="H20" s="22" t="n">
        <v>6.7</v>
      </c>
      <c r="I20" s="23" t="n">
        <v>45</v>
      </c>
    </row>
    <row r="21" customFormat="false" ht="15" hidden="false" customHeight="false" outlineLevel="0" collapsed="false">
      <c r="A21" s="6" t="s">
        <v>74</v>
      </c>
      <c r="B21" s="6" t="s">
        <v>75</v>
      </c>
      <c r="C21" s="6" t="s">
        <v>27</v>
      </c>
      <c r="D21" s="16" t="n">
        <v>5855.31</v>
      </c>
      <c r="E21" s="16" t="n">
        <v>-432.31</v>
      </c>
      <c r="F21" s="17" t="n">
        <v>-7.4</v>
      </c>
      <c r="G21" s="18" t="n">
        <v>187</v>
      </c>
      <c r="H21" s="17" t="n">
        <v>6.7</v>
      </c>
      <c r="I21" s="18" t="n">
        <v>42</v>
      </c>
    </row>
    <row r="22" customFormat="false" ht="15" hidden="false" customHeight="false" outlineLevel="0" collapsed="false">
      <c r="A22" s="20" t="s">
        <v>76</v>
      </c>
      <c r="B22" s="20" t="s">
        <v>77</v>
      </c>
      <c r="C22" s="20" t="s">
        <v>27</v>
      </c>
      <c r="D22" s="21" t="n">
        <v>4490.4</v>
      </c>
      <c r="E22" s="21" t="n">
        <v>-430.45</v>
      </c>
      <c r="F22" s="22" t="n">
        <v>-9.6</v>
      </c>
      <c r="G22" s="23" t="n">
        <v>235</v>
      </c>
      <c r="H22" s="22" t="n">
        <v>8.1</v>
      </c>
      <c r="I22" s="23" t="n">
        <v>42</v>
      </c>
    </row>
    <row r="23" customFormat="false" ht="15" hidden="false" customHeight="false" outlineLevel="0" collapsed="false">
      <c r="A23" s="6" t="s">
        <v>78</v>
      </c>
      <c r="B23" s="6" t="s">
        <v>79</v>
      </c>
      <c r="C23" s="6" t="s">
        <v>27</v>
      </c>
      <c r="D23" s="16" t="n">
        <v>5377.33</v>
      </c>
      <c r="E23" s="16" t="n">
        <v>-411.88</v>
      </c>
      <c r="F23" s="17" t="n">
        <v>-7.7</v>
      </c>
      <c r="G23" s="18" t="n">
        <v>181</v>
      </c>
      <c r="H23" s="17" t="n">
        <v>7</v>
      </c>
      <c r="I23" s="18" t="n">
        <v>38</v>
      </c>
    </row>
    <row r="24" customFormat="false" ht="15" hidden="false" customHeight="false" outlineLevel="0" collapsed="false">
      <c r="A24" s="20" t="s">
        <v>80</v>
      </c>
      <c r="B24" s="20" t="s">
        <v>55</v>
      </c>
      <c r="C24" s="20" t="s">
        <v>27</v>
      </c>
      <c r="D24" s="21" t="n">
        <v>3586.65</v>
      </c>
      <c r="E24" s="21" t="n">
        <v>-392.2</v>
      </c>
      <c r="F24" s="22" t="n">
        <v>-10.9</v>
      </c>
      <c r="G24" s="23" t="n">
        <v>286</v>
      </c>
      <c r="H24" s="22" t="n">
        <v>6.8</v>
      </c>
      <c r="I24" s="23" t="n">
        <v>51</v>
      </c>
    </row>
    <row r="25" customFormat="false" ht="15" hidden="false" customHeight="false" outlineLevel="0" collapsed="false">
      <c r="A25" s="6" t="s">
        <v>81</v>
      </c>
      <c r="B25" s="6" t="s">
        <v>82</v>
      </c>
      <c r="C25" s="6" t="s">
        <v>27</v>
      </c>
      <c r="D25" s="16" t="n">
        <v>5081.84</v>
      </c>
      <c r="E25" s="16" t="n">
        <v>-380.44</v>
      </c>
      <c r="F25" s="17" t="n">
        <v>-7.5</v>
      </c>
      <c r="G25" s="18" t="n">
        <v>186</v>
      </c>
      <c r="H25" s="17" t="n">
        <v>8.7</v>
      </c>
      <c r="I25" s="18" t="n">
        <v>41</v>
      </c>
    </row>
    <row r="26" customFormat="false" ht="15" hidden="false" customHeight="false" outlineLevel="0" collapsed="false">
      <c r="A26" s="20" t="s">
        <v>83</v>
      </c>
      <c r="B26" s="20" t="s">
        <v>84</v>
      </c>
      <c r="C26" s="20" t="s">
        <v>27</v>
      </c>
      <c r="D26" s="21" t="n">
        <v>4901.21</v>
      </c>
      <c r="E26" s="21" t="n">
        <v>-372.49</v>
      </c>
      <c r="F26" s="22" t="n">
        <v>-7.6</v>
      </c>
      <c r="G26" s="23" t="n">
        <v>135</v>
      </c>
      <c r="H26" s="22" t="n">
        <v>7.3</v>
      </c>
      <c r="I26" s="23" t="n">
        <v>43</v>
      </c>
    </row>
    <row r="27" customFormat="false" ht="15" hidden="false" customHeight="false" outlineLevel="0" collapsed="false">
      <c r="A27" s="6" t="s">
        <v>85</v>
      </c>
      <c r="B27" s="6" t="s">
        <v>86</v>
      </c>
      <c r="C27" s="6" t="s">
        <v>27</v>
      </c>
      <c r="D27" s="16" t="n">
        <v>2130.24</v>
      </c>
      <c r="E27" s="16" t="n">
        <v>-355.55</v>
      </c>
      <c r="F27" s="17" t="n">
        <v>-16.7</v>
      </c>
      <c r="G27" s="18" t="n">
        <v>238</v>
      </c>
      <c r="H27" s="17" t="n">
        <v>7.9</v>
      </c>
      <c r="I27" s="18" t="n">
        <v>40</v>
      </c>
    </row>
    <row r="28" customFormat="false" ht="15" hidden="false" customHeight="false" outlineLevel="0" collapsed="false">
      <c r="A28" s="20" t="s">
        <v>87</v>
      </c>
      <c r="B28" s="20" t="s">
        <v>88</v>
      </c>
      <c r="C28" s="20" t="s">
        <v>27</v>
      </c>
      <c r="D28" s="21" t="n">
        <v>3453.16</v>
      </c>
      <c r="E28" s="21" t="n">
        <v>-353.08</v>
      </c>
      <c r="F28" s="22" t="n">
        <v>-10.2</v>
      </c>
      <c r="G28" s="23" t="n">
        <v>237</v>
      </c>
      <c r="H28" s="22" t="n">
        <v>7.9</v>
      </c>
      <c r="I28" s="23" t="n">
        <v>52</v>
      </c>
    </row>
    <row r="29" customFormat="false" ht="15" hidden="false" customHeight="false" outlineLevel="0" collapsed="false">
      <c r="A29" s="6" t="s">
        <v>89</v>
      </c>
      <c r="B29" s="6" t="s">
        <v>73</v>
      </c>
      <c r="C29" s="6" t="s">
        <v>27</v>
      </c>
      <c r="D29" s="16" t="n">
        <v>2643.19</v>
      </c>
      <c r="E29" s="16" t="n">
        <v>-351.81</v>
      </c>
      <c r="F29" s="17" t="n">
        <v>-13.3</v>
      </c>
      <c r="G29" s="18" t="n">
        <v>187</v>
      </c>
      <c r="H29" s="17" t="n">
        <v>7.8</v>
      </c>
      <c r="I29" s="18" t="n">
        <v>38</v>
      </c>
    </row>
    <row r="30" customFormat="false" ht="15" hidden="false" customHeight="false" outlineLevel="0" collapsed="false">
      <c r="A30" s="20" t="s">
        <v>90</v>
      </c>
      <c r="B30" s="20" t="s">
        <v>77</v>
      </c>
      <c r="C30" s="20" t="s">
        <v>27</v>
      </c>
      <c r="D30" s="21" t="n">
        <v>5492.74</v>
      </c>
      <c r="E30" s="21" t="n">
        <v>-328.29</v>
      </c>
      <c r="F30" s="22" t="n">
        <v>-6</v>
      </c>
      <c r="G30" s="23" t="n">
        <v>249</v>
      </c>
      <c r="H30" s="22" t="n">
        <v>6.6</v>
      </c>
      <c r="I30" s="23" t="n">
        <v>48</v>
      </c>
    </row>
    <row r="31" customFormat="false" ht="15" hidden="false" customHeight="false" outlineLevel="0" collapsed="false">
      <c r="A31" s="6" t="s">
        <v>91</v>
      </c>
      <c r="B31" s="6" t="s">
        <v>92</v>
      </c>
      <c r="C31" s="6" t="s">
        <v>27</v>
      </c>
      <c r="D31" s="16" t="n">
        <v>4748.23</v>
      </c>
      <c r="E31" s="16" t="n">
        <v>-293.01</v>
      </c>
      <c r="F31" s="17" t="n">
        <v>-6.2</v>
      </c>
      <c r="G31" s="18" t="n">
        <v>156</v>
      </c>
      <c r="H31" s="17" t="n">
        <v>6.9</v>
      </c>
      <c r="I31" s="18" t="n">
        <v>41</v>
      </c>
    </row>
    <row r="32" customFormat="false" ht="15" hidden="false" customHeight="false" outlineLevel="0" collapsed="false">
      <c r="A32" s="20" t="s">
        <v>93</v>
      </c>
      <c r="B32" s="20" t="s">
        <v>94</v>
      </c>
      <c r="C32" s="20" t="s">
        <v>27</v>
      </c>
      <c r="D32" s="21" t="n">
        <v>3505.07</v>
      </c>
      <c r="E32" s="21" t="n">
        <v>-278.83</v>
      </c>
      <c r="F32" s="22" t="n">
        <v>-8</v>
      </c>
      <c r="G32" s="23" t="n">
        <v>191</v>
      </c>
      <c r="H32" s="22" t="n">
        <v>6.5</v>
      </c>
      <c r="I32" s="23" t="n">
        <v>42</v>
      </c>
    </row>
    <row r="33" customFormat="false" ht="15" hidden="false" customHeight="false" outlineLevel="0" collapsed="false">
      <c r="A33" s="6" t="s">
        <v>95</v>
      </c>
      <c r="B33" s="6" t="s">
        <v>47</v>
      </c>
      <c r="C33" s="6" t="s">
        <v>27</v>
      </c>
      <c r="D33" s="16" t="n">
        <v>4410.53</v>
      </c>
      <c r="E33" s="16" t="n">
        <v>-271.09</v>
      </c>
      <c r="F33" s="17" t="n">
        <v>-6.1</v>
      </c>
      <c r="G33" s="18" t="n">
        <v>250</v>
      </c>
      <c r="H33" s="17" t="n">
        <v>6.8</v>
      </c>
      <c r="I33" s="18" t="n">
        <v>39</v>
      </c>
    </row>
    <row r="34" customFormat="false" ht="15" hidden="false" customHeight="false" outlineLevel="0" collapsed="false">
      <c r="A34" s="20" t="s">
        <v>96</v>
      </c>
      <c r="B34" s="20" t="s">
        <v>97</v>
      </c>
      <c r="C34" s="20" t="s">
        <v>27</v>
      </c>
      <c r="D34" s="21" t="n">
        <v>3297.19</v>
      </c>
      <c r="E34" s="21" t="n">
        <v>-264.35</v>
      </c>
      <c r="F34" s="22" t="n">
        <v>-8</v>
      </c>
      <c r="G34" s="23" t="n">
        <v>160</v>
      </c>
      <c r="H34" s="22" t="n">
        <v>7</v>
      </c>
      <c r="I34" s="23" t="n">
        <v>36</v>
      </c>
    </row>
    <row r="35" customFormat="false" ht="15" hidden="false" customHeight="false" outlineLevel="0" collapsed="false">
      <c r="A35" s="6" t="s">
        <v>98</v>
      </c>
      <c r="B35" s="6" t="s">
        <v>99</v>
      </c>
      <c r="C35" s="6" t="s">
        <v>27</v>
      </c>
      <c r="D35" s="16" t="n">
        <v>4485.88</v>
      </c>
      <c r="E35" s="16" t="n">
        <v>-263.03</v>
      </c>
      <c r="F35" s="17" t="n">
        <v>-5.9</v>
      </c>
      <c r="G35" s="18" t="n">
        <v>129</v>
      </c>
      <c r="H35" s="17" t="n">
        <v>6.7</v>
      </c>
      <c r="I35" s="18" t="n">
        <v>41</v>
      </c>
    </row>
    <row r="36" customFormat="false" ht="15" hidden="false" customHeight="false" outlineLevel="0" collapsed="false">
      <c r="A36" s="20" t="s">
        <v>100</v>
      </c>
      <c r="B36" s="20" t="s">
        <v>67</v>
      </c>
      <c r="C36" s="20" t="s">
        <v>27</v>
      </c>
      <c r="D36" s="21" t="n">
        <v>4900.29</v>
      </c>
      <c r="E36" s="21" t="n">
        <v>-254</v>
      </c>
      <c r="F36" s="22" t="n">
        <v>-5.2</v>
      </c>
      <c r="G36" s="23" t="n">
        <v>132</v>
      </c>
      <c r="H36" s="22" t="n">
        <v>7.3</v>
      </c>
      <c r="I36" s="23" t="n">
        <v>39</v>
      </c>
    </row>
    <row r="37" customFormat="false" ht="15" hidden="false" customHeight="false" outlineLevel="0" collapsed="false">
      <c r="A37" s="6" t="s">
        <v>101</v>
      </c>
      <c r="B37" s="6" t="s">
        <v>102</v>
      </c>
      <c r="C37" s="6" t="s">
        <v>27</v>
      </c>
      <c r="D37" s="16" t="n">
        <v>6648.82</v>
      </c>
      <c r="E37" s="16" t="n">
        <v>-250.83</v>
      </c>
      <c r="F37" s="17" t="n">
        <v>-3.8</v>
      </c>
      <c r="G37" s="18" t="n">
        <v>251</v>
      </c>
      <c r="H37" s="17" t="n">
        <v>6.3</v>
      </c>
      <c r="I37" s="18" t="n">
        <v>42</v>
      </c>
    </row>
    <row r="38" customFormat="false" ht="15" hidden="false" customHeight="false" outlineLevel="0" collapsed="false">
      <c r="A38" s="20" t="s">
        <v>103</v>
      </c>
      <c r="B38" s="20" t="s">
        <v>104</v>
      </c>
      <c r="C38" s="20" t="s">
        <v>27</v>
      </c>
      <c r="D38" s="21" t="n">
        <v>1865.15</v>
      </c>
      <c r="E38" s="21" t="n">
        <v>-245.86</v>
      </c>
      <c r="F38" s="22" t="n">
        <v>-13.2</v>
      </c>
      <c r="G38" s="23" t="n">
        <v>172</v>
      </c>
      <c r="H38" s="22" t="n">
        <v>7.4</v>
      </c>
      <c r="I38" s="23" t="n">
        <v>38</v>
      </c>
    </row>
    <row r="39" customFormat="false" ht="15" hidden="false" customHeight="false" outlineLevel="0" collapsed="false">
      <c r="A39" s="6" t="s">
        <v>105</v>
      </c>
      <c r="B39" s="6" t="s">
        <v>84</v>
      </c>
      <c r="C39" s="6" t="s">
        <v>27</v>
      </c>
      <c r="D39" s="16" t="n">
        <v>4444.24</v>
      </c>
      <c r="E39" s="16" t="n">
        <v>-229.77</v>
      </c>
      <c r="F39" s="17" t="n">
        <v>-5.2</v>
      </c>
      <c r="G39" s="18" t="n">
        <v>196</v>
      </c>
      <c r="H39" s="17" t="n">
        <v>6.8</v>
      </c>
      <c r="I39" s="18" t="n">
        <v>44</v>
      </c>
    </row>
    <row r="40" customFormat="false" ht="15" hidden="false" customHeight="false" outlineLevel="0" collapsed="false">
      <c r="A40" s="20" t="s">
        <v>106</v>
      </c>
      <c r="B40" s="20" t="s">
        <v>107</v>
      </c>
      <c r="C40" s="20" t="s">
        <v>27</v>
      </c>
      <c r="D40" s="21" t="n">
        <v>3191.47</v>
      </c>
      <c r="E40" s="21" t="n">
        <v>-227.48</v>
      </c>
      <c r="F40" s="22" t="n">
        <v>-7.1</v>
      </c>
      <c r="G40" s="23" t="n">
        <v>203</v>
      </c>
      <c r="H40" s="22" t="n">
        <v>5.2</v>
      </c>
      <c r="I40" s="23" t="n">
        <v>44</v>
      </c>
    </row>
    <row r="41" customFormat="false" ht="15" hidden="false" customHeight="false" outlineLevel="0" collapsed="false">
      <c r="A41" s="6" t="s">
        <v>108</v>
      </c>
      <c r="B41" s="6" t="s">
        <v>88</v>
      </c>
      <c r="C41" s="6" t="s">
        <v>27</v>
      </c>
      <c r="D41" s="16" t="n">
        <v>3350.41</v>
      </c>
      <c r="E41" s="16" t="n">
        <v>-200.67</v>
      </c>
      <c r="F41" s="17" t="n">
        <v>-6</v>
      </c>
      <c r="G41" s="18" t="n">
        <v>115</v>
      </c>
      <c r="H41" s="17" t="n">
        <v>6.7</v>
      </c>
      <c r="I41" s="18" t="n">
        <v>42</v>
      </c>
    </row>
    <row r="42" customFormat="false" ht="15" hidden="false" customHeight="false" outlineLevel="0" collapsed="false">
      <c r="A42" s="20" t="s">
        <v>109</v>
      </c>
      <c r="B42" s="20" t="s">
        <v>110</v>
      </c>
      <c r="C42" s="20" t="s">
        <v>27</v>
      </c>
      <c r="D42" s="21" t="n">
        <v>3960.25</v>
      </c>
      <c r="E42" s="21" t="n">
        <v>-186.49</v>
      </c>
      <c r="F42" s="22" t="n">
        <v>-4.7</v>
      </c>
      <c r="G42" s="23" t="n">
        <v>113</v>
      </c>
      <c r="H42" s="22" t="n">
        <v>5.5</v>
      </c>
      <c r="I42" s="23" t="n">
        <v>34</v>
      </c>
    </row>
    <row r="43" customFormat="false" ht="15" hidden="false" customHeight="false" outlineLevel="0" collapsed="false">
      <c r="A43" s="6" t="s">
        <v>111</v>
      </c>
      <c r="B43" s="6" t="s">
        <v>112</v>
      </c>
      <c r="C43" s="6" t="s">
        <v>27</v>
      </c>
      <c r="D43" s="16" t="n">
        <v>1963.82</v>
      </c>
      <c r="E43" s="16" t="n">
        <v>-139.84</v>
      </c>
      <c r="F43" s="17" t="n">
        <v>-7.1</v>
      </c>
      <c r="G43" s="18" t="n">
        <v>187</v>
      </c>
      <c r="H43" s="17" t="n">
        <v>7.6</v>
      </c>
      <c r="I43" s="18" t="n">
        <v>43</v>
      </c>
    </row>
    <row r="44" customFormat="false" ht="15" hidden="false" customHeight="false" outlineLevel="0" collapsed="false">
      <c r="A44" s="20" t="s">
        <v>113</v>
      </c>
      <c r="B44" s="20" t="s">
        <v>114</v>
      </c>
      <c r="C44" s="20" t="s">
        <v>27</v>
      </c>
      <c r="D44" s="21" t="n">
        <v>1056.04</v>
      </c>
      <c r="E44" s="21" t="n">
        <v>-126.76</v>
      </c>
      <c r="F44" s="22" t="n">
        <v>-12</v>
      </c>
      <c r="G44" s="23" t="n">
        <v>127</v>
      </c>
      <c r="H44" s="22" t="n">
        <v>9.2</v>
      </c>
      <c r="I44" s="23" t="n">
        <v>41</v>
      </c>
    </row>
    <row r="45" customFormat="false" ht="15" hidden="false" customHeight="false" outlineLevel="0" collapsed="false">
      <c r="A45" s="27" t="s">
        <v>35</v>
      </c>
      <c r="D45" s="28" t="n">
        <f aca="false">SUM(D5:D44)</f>
        <v>227036.44</v>
      </c>
      <c r="E45" s="28" t="n">
        <f aca="false">SUM(E5:E44)</f>
        <v>-19326.47</v>
      </c>
      <c r="G45" s="29" t="n">
        <f aca="false">SUM(G5:G44)</f>
        <v>9002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9"/>
    <col collapsed="false" customWidth="true" hidden="false" outlineLevel="0" max="11" min="11" style="0" width="12"/>
  </cols>
  <sheetData>
    <row r="1" customFormat="false" ht="17.35" hidden="false" customHeight="false" outlineLevel="0" collapsed="false">
      <c r="A1" s="14" t="s">
        <v>115</v>
      </c>
    </row>
    <row r="2" customFormat="false" ht="15" hidden="false" customHeight="false" outlineLevel="0" collapsed="false">
      <c r="A2" s="3" t="s">
        <v>116</v>
      </c>
    </row>
    <row r="4" customFormat="false" ht="15" hidden="false" customHeight="false" outlineLevel="0" collapsed="false">
      <c r="A4" s="15" t="s">
        <v>38</v>
      </c>
      <c r="B4" s="15" t="s">
        <v>39</v>
      </c>
      <c r="C4" s="15" t="s">
        <v>20</v>
      </c>
      <c r="D4" s="15" t="s">
        <v>117</v>
      </c>
      <c r="E4" s="15" t="s">
        <v>21</v>
      </c>
      <c r="F4" s="15" t="s">
        <v>118</v>
      </c>
      <c r="G4" s="15" t="s">
        <v>5</v>
      </c>
      <c r="H4" s="15" t="s">
        <v>22</v>
      </c>
      <c r="I4" s="15" t="s">
        <v>40</v>
      </c>
      <c r="J4" s="15" t="s">
        <v>41</v>
      </c>
      <c r="K4" s="15" t="s">
        <v>26</v>
      </c>
    </row>
    <row r="5" customFormat="false" ht="15" hidden="false" customHeight="false" outlineLevel="0" collapsed="false">
      <c r="A5" s="6" t="s">
        <v>119</v>
      </c>
      <c r="B5" s="6" t="s">
        <v>120</v>
      </c>
      <c r="C5" s="6" t="s">
        <v>32</v>
      </c>
      <c r="D5" s="30" t="s">
        <v>121</v>
      </c>
      <c r="E5" s="16" t="n">
        <v>25453.44</v>
      </c>
      <c r="F5" s="17" t="n">
        <v>2.6</v>
      </c>
      <c r="G5" s="16" t="n">
        <v>4300.32</v>
      </c>
      <c r="H5" s="17" t="n">
        <v>16.9</v>
      </c>
      <c r="I5" s="18" t="n">
        <v>381</v>
      </c>
      <c r="J5" s="17" t="n">
        <v>3.8</v>
      </c>
      <c r="K5" s="31" t="s">
        <v>33</v>
      </c>
    </row>
    <row r="6" customFormat="false" ht="15" hidden="false" customHeight="false" outlineLevel="0" collapsed="false">
      <c r="A6" s="20" t="s">
        <v>122</v>
      </c>
      <c r="B6" s="20" t="s">
        <v>123</v>
      </c>
      <c r="C6" s="20" t="s">
        <v>32</v>
      </c>
      <c r="D6" s="32" t="s">
        <v>121</v>
      </c>
      <c r="E6" s="21" t="n">
        <v>21299.52</v>
      </c>
      <c r="F6" s="22" t="n">
        <v>4.8</v>
      </c>
      <c r="G6" s="21" t="n">
        <v>3065.86</v>
      </c>
      <c r="H6" s="22" t="n">
        <v>14.4</v>
      </c>
      <c r="I6" s="23" t="n">
        <v>307</v>
      </c>
      <c r="J6" s="22" t="n">
        <v>4.1</v>
      </c>
      <c r="K6" s="26" t="s">
        <v>33</v>
      </c>
    </row>
    <row r="7" customFormat="false" ht="15" hidden="false" customHeight="false" outlineLevel="0" collapsed="false">
      <c r="A7" s="6" t="s">
        <v>124</v>
      </c>
      <c r="B7" s="6" t="s">
        <v>125</v>
      </c>
      <c r="C7" s="6" t="s">
        <v>32</v>
      </c>
      <c r="D7" s="30" t="s">
        <v>121</v>
      </c>
      <c r="E7" s="16" t="n">
        <v>20657.47</v>
      </c>
      <c r="F7" s="17" t="n">
        <v>6.9</v>
      </c>
      <c r="G7" s="16" t="n">
        <v>2996.99</v>
      </c>
      <c r="H7" s="17" t="n">
        <v>14.5</v>
      </c>
      <c r="I7" s="18" t="n">
        <v>303</v>
      </c>
      <c r="J7" s="17" t="n">
        <v>4.1</v>
      </c>
      <c r="K7" s="31" t="s">
        <v>33</v>
      </c>
    </row>
    <row r="8" customFormat="false" ht="15" hidden="false" customHeight="false" outlineLevel="0" collapsed="false">
      <c r="A8" s="20" t="s">
        <v>126</v>
      </c>
      <c r="B8" s="20" t="s">
        <v>127</v>
      </c>
      <c r="C8" s="20" t="s">
        <v>32</v>
      </c>
      <c r="D8" s="32" t="s">
        <v>121</v>
      </c>
      <c r="E8" s="21" t="n">
        <v>20250.59</v>
      </c>
      <c r="F8" s="22" t="n">
        <v>9</v>
      </c>
      <c r="G8" s="21" t="n">
        <v>3136.96</v>
      </c>
      <c r="H8" s="22" t="n">
        <v>15.5</v>
      </c>
      <c r="I8" s="23" t="n">
        <v>226</v>
      </c>
      <c r="J8" s="22" t="n">
        <v>3.8</v>
      </c>
      <c r="K8" s="26" t="s">
        <v>33</v>
      </c>
    </row>
    <row r="9" customFormat="false" ht="15" hidden="false" customHeight="false" outlineLevel="0" collapsed="false">
      <c r="A9" s="6" t="s">
        <v>128</v>
      </c>
      <c r="B9" s="6" t="s">
        <v>123</v>
      </c>
      <c r="C9" s="6" t="s">
        <v>32</v>
      </c>
      <c r="D9" s="30" t="s">
        <v>121</v>
      </c>
      <c r="E9" s="16" t="n">
        <v>20188.52</v>
      </c>
      <c r="F9" s="17" t="n">
        <v>11.1</v>
      </c>
      <c r="G9" s="16" t="n">
        <v>3057.84</v>
      </c>
      <c r="H9" s="17" t="n">
        <v>15.1</v>
      </c>
      <c r="I9" s="18" t="n">
        <v>299</v>
      </c>
      <c r="J9" s="17" t="n">
        <v>4</v>
      </c>
      <c r="K9" s="31" t="s">
        <v>33</v>
      </c>
    </row>
    <row r="10" customFormat="false" ht="15" hidden="false" customHeight="false" outlineLevel="0" collapsed="false">
      <c r="A10" s="20" t="s">
        <v>129</v>
      </c>
      <c r="B10" s="20" t="s">
        <v>130</v>
      </c>
      <c r="C10" s="20" t="s">
        <v>32</v>
      </c>
      <c r="D10" s="32" t="s">
        <v>121</v>
      </c>
      <c r="E10" s="21" t="n">
        <v>18349.01</v>
      </c>
      <c r="F10" s="22" t="n">
        <v>13</v>
      </c>
      <c r="G10" s="21" t="n">
        <v>2462.52</v>
      </c>
      <c r="H10" s="22" t="n">
        <v>13.4</v>
      </c>
      <c r="I10" s="23" t="n">
        <v>208</v>
      </c>
      <c r="J10" s="22" t="n">
        <v>3.3</v>
      </c>
      <c r="K10" s="26" t="s">
        <v>33</v>
      </c>
    </row>
    <row r="11" customFormat="false" ht="15" hidden="false" customHeight="false" outlineLevel="0" collapsed="false">
      <c r="A11" s="6" t="s">
        <v>131</v>
      </c>
      <c r="B11" s="6" t="s">
        <v>132</v>
      </c>
      <c r="C11" s="6" t="s">
        <v>32</v>
      </c>
      <c r="D11" s="30" t="s">
        <v>121</v>
      </c>
      <c r="E11" s="16" t="n">
        <v>16914.68</v>
      </c>
      <c r="F11" s="17" t="n">
        <v>14.7</v>
      </c>
      <c r="G11" s="16" t="n">
        <v>2289.91</v>
      </c>
      <c r="H11" s="17" t="n">
        <v>13.5</v>
      </c>
      <c r="I11" s="18" t="n">
        <v>202</v>
      </c>
      <c r="J11" s="17" t="n">
        <v>4.3</v>
      </c>
      <c r="K11" s="31" t="s">
        <v>33</v>
      </c>
    </row>
    <row r="12" customFormat="false" ht="15" hidden="false" customHeight="false" outlineLevel="0" collapsed="false">
      <c r="A12" s="20" t="s">
        <v>133</v>
      </c>
      <c r="B12" s="20" t="s">
        <v>134</v>
      </c>
      <c r="C12" s="20" t="s">
        <v>32</v>
      </c>
      <c r="D12" s="32" t="s">
        <v>121</v>
      </c>
      <c r="E12" s="21" t="n">
        <v>16103.85</v>
      </c>
      <c r="F12" s="22" t="n">
        <v>16.4</v>
      </c>
      <c r="G12" s="21" t="n">
        <v>2420.69</v>
      </c>
      <c r="H12" s="22" t="n">
        <v>15</v>
      </c>
      <c r="I12" s="23" t="n">
        <v>213</v>
      </c>
      <c r="J12" s="22" t="n">
        <v>3.7</v>
      </c>
      <c r="K12" s="26" t="s">
        <v>33</v>
      </c>
    </row>
    <row r="13" customFormat="false" ht="15" hidden="false" customHeight="false" outlineLevel="0" collapsed="false">
      <c r="A13" s="6" t="s">
        <v>135</v>
      </c>
      <c r="B13" s="6" t="s">
        <v>136</v>
      </c>
      <c r="C13" s="6" t="s">
        <v>32</v>
      </c>
      <c r="D13" s="30" t="s">
        <v>121</v>
      </c>
      <c r="E13" s="16" t="n">
        <v>14351.51</v>
      </c>
      <c r="F13" s="17" t="n">
        <v>17.8</v>
      </c>
      <c r="G13" s="16" t="n">
        <v>1851.52</v>
      </c>
      <c r="H13" s="17" t="n">
        <v>12.9</v>
      </c>
      <c r="I13" s="18" t="n">
        <v>295</v>
      </c>
      <c r="J13" s="17" t="n">
        <v>3.7</v>
      </c>
      <c r="K13" s="31" t="s">
        <v>33</v>
      </c>
    </row>
    <row r="14" customFormat="false" ht="15" hidden="false" customHeight="false" outlineLevel="0" collapsed="false">
      <c r="A14" s="20" t="s">
        <v>137</v>
      </c>
      <c r="B14" s="20" t="s">
        <v>138</v>
      </c>
      <c r="C14" s="20" t="s">
        <v>34</v>
      </c>
      <c r="D14" s="32" t="s">
        <v>121</v>
      </c>
      <c r="E14" s="21" t="n">
        <v>13316.84</v>
      </c>
      <c r="F14" s="22" t="n">
        <v>19.2</v>
      </c>
      <c r="G14" s="21" t="n">
        <v>2737.22</v>
      </c>
      <c r="H14" s="22" t="n">
        <v>20.6</v>
      </c>
      <c r="I14" s="23" t="n">
        <v>225</v>
      </c>
      <c r="J14" s="22" t="n">
        <v>3.6</v>
      </c>
      <c r="K14" s="24" t="s">
        <v>30</v>
      </c>
    </row>
    <row r="15" customFormat="false" ht="15" hidden="false" customHeight="false" outlineLevel="0" collapsed="false">
      <c r="A15" s="6" t="s">
        <v>139</v>
      </c>
      <c r="B15" s="6" t="s">
        <v>140</v>
      </c>
      <c r="C15" s="6" t="s">
        <v>32</v>
      </c>
      <c r="D15" s="30" t="s">
        <v>121</v>
      </c>
      <c r="E15" s="16" t="n">
        <v>13277.17</v>
      </c>
      <c r="F15" s="17" t="n">
        <v>20.6</v>
      </c>
      <c r="G15" s="16" t="n">
        <v>1933.18</v>
      </c>
      <c r="H15" s="17" t="n">
        <v>14.6</v>
      </c>
      <c r="I15" s="18" t="n">
        <v>164</v>
      </c>
      <c r="J15" s="17" t="n">
        <v>3.6</v>
      </c>
      <c r="K15" s="31" t="s">
        <v>33</v>
      </c>
    </row>
    <row r="16" customFormat="false" ht="15" hidden="false" customHeight="false" outlineLevel="0" collapsed="false">
      <c r="A16" s="20" t="s">
        <v>141</v>
      </c>
      <c r="B16" s="20" t="s">
        <v>142</v>
      </c>
      <c r="C16" s="20" t="s">
        <v>34</v>
      </c>
      <c r="D16" s="32" t="s">
        <v>121</v>
      </c>
      <c r="E16" s="21" t="n">
        <v>13269.56</v>
      </c>
      <c r="F16" s="22" t="n">
        <v>21.9</v>
      </c>
      <c r="G16" s="21" t="n">
        <v>2711.49</v>
      </c>
      <c r="H16" s="22" t="n">
        <v>20.4</v>
      </c>
      <c r="I16" s="23" t="n">
        <v>277</v>
      </c>
      <c r="J16" s="22" t="n">
        <v>3.6</v>
      </c>
      <c r="K16" s="24" t="s">
        <v>30</v>
      </c>
    </row>
    <row r="17" customFormat="false" ht="15" hidden="false" customHeight="false" outlineLevel="0" collapsed="false">
      <c r="A17" s="6" t="s">
        <v>143</v>
      </c>
      <c r="B17" s="6" t="s">
        <v>144</v>
      </c>
      <c r="C17" s="6" t="s">
        <v>34</v>
      </c>
      <c r="D17" s="30" t="s">
        <v>121</v>
      </c>
      <c r="E17" s="16" t="n">
        <v>13179.19</v>
      </c>
      <c r="F17" s="17" t="n">
        <v>23.3</v>
      </c>
      <c r="G17" s="16" t="n">
        <v>2872.3</v>
      </c>
      <c r="H17" s="17" t="n">
        <v>21.8</v>
      </c>
      <c r="I17" s="18" t="n">
        <v>268</v>
      </c>
      <c r="J17" s="17" t="n">
        <v>3.9</v>
      </c>
      <c r="K17" s="25" t="s">
        <v>30</v>
      </c>
    </row>
    <row r="18" customFormat="false" ht="15" hidden="false" customHeight="false" outlineLevel="0" collapsed="false">
      <c r="A18" s="20" t="s">
        <v>145</v>
      </c>
      <c r="B18" s="20" t="s">
        <v>146</v>
      </c>
      <c r="C18" s="20" t="s">
        <v>34</v>
      </c>
      <c r="D18" s="32" t="s">
        <v>121</v>
      </c>
      <c r="E18" s="21" t="n">
        <v>12768.88</v>
      </c>
      <c r="F18" s="22" t="n">
        <v>24.6</v>
      </c>
      <c r="G18" s="21" t="n">
        <v>2858.67</v>
      </c>
      <c r="H18" s="22" t="n">
        <v>22.4</v>
      </c>
      <c r="I18" s="23" t="n">
        <v>216</v>
      </c>
      <c r="J18" s="22" t="n">
        <v>2.4</v>
      </c>
      <c r="K18" s="24" t="s">
        <v>30</v>
      </c>
    </row>
    <row r="19" customFormat="false" ht="15" hidden="false" customHeight="false" outlineLevel="0" collapsed="false">
      <c r="A19" s="6" t="s">
        <v>147</v>
      </c>
      <c r="B19" s="6" t="s">
        <v>148</v>
      </c>
      <c r="C19" s="6" t="s">
        <v>34</v>
      </c>
      <c r="D19" s="30" t="s">
        <v>121</v>
      </c>
      <c r="E19" s="16" t="n">
        <v>12160.98</v>
      </c>
      <c r="F19" s="17" t="n">
        <v>25.9</v>
      </c>
      <c r="G19" s="16" t="n">
        <v>2539.51</v>
      </c>
      <c r="H19" s="17" t="n">
        <v>20.9</v>
      </c>
      <c r="I19" s="18" t="n">
        <v>218</v>
      </c>
      <c r="J19" s="17" t="n">
        <v>3.3</v>
      </c>
      <c r="K19" s="25" t="s">
        <v>30</v>
      </c>
    </row>
    <row r="20" customFormat="false" ht="15" hidden="false" customHeight="false" outlineLevel="0" collapsed="false">
      <c r="A20" s="20" t="s">
        <v>149</v>
      </c>
      <c r="B20" s="20" t="s">
        <v>150</v>
      </c>
      <c r="C20" s="20" t="s">
        <v>34</v>
      </c>
      <c r="D20" s="32" t="s">
        <v>121</v>
      </c>
      <c r="E20" s="21" t="n">
        <v>11765.57</v>
      </c>
      <c r="F20" s="22" t="n">
        <v>27.1</v>
      </c>
      <c r="G20" s="21" t="n">
        <v>2648.74</v>
      </c>
      <c r="H20" s="22" t="n">
        <v>22.5</v>
      </c>
      <c r="I20" s="23" t="n">
        <v>206</v>
      </c>
      <c r="J20" s="22" t="n">
        <v>2.6</v>
      </c>
      <c r="K20" s="24" t="s">
        <v>30</v>
      </c>
    </row>
    <row r="21" customFormat="false" ht="15" hidden="false" customHeight="false" outlineLevel="0" collapsed="false">
      <c r="A21" s="6" t="s">
        <v>56</v>
      </c>
      <c r="B21" s="6" t="s">
        <v>57</v>
      </c>
      <c r="C21" s="6" t="s">
        <v>27</v>
      </c>
      <c r="D21" s="30" t="s">
        <v>121</v>
      </c>
      <c r="E21" s="16" t="n">
        <v>11689.27</v>
      </c>
      <c r="F21" s="17" t="n">
        <v>28.3</v>
      </c>
      <c r="G21" s="16" t="n">
        <v>-781.04</v>
      </c>
      <c r="H21" s="17" t="n">
        <v>-6.7</v>
      </c>
      <c r="I21" s="18" t="n">
        <v>303</v>
      </c>
      <c r="J21" s="17" t="n">
        <v>8.2</v>
      </c>
      <c r="K21" s="19" t="s">
        <v>28</v>
      </c>
    </row>
    <row r="22" customFormat="false" ht="15" hidden="false" customHeight="false" outlineLevel="0" collapsed="false">
      <c r="A22" s="20" t="s">
        <v>151</v>
      </c>
      <c r="B22" s="20" t="s">
        <v>130</v>
      </c>
      <c r="C22" s="20" t="s">
        <v>32</v>
      </c>
      <c r="D22" s="32" t="s">
        <v>121</v>
      </c>
      <c r="E22" s="21" t="n">
        <v>11590.83</v>
      </c>
      <c r="F22" s="22" t="n">
        <v>29.5</v>
      </c>
      <c r="G22" s="21" t="n">
        <v>1624.65</v>
      </c>
      <c r="H22" s="22" t="n">
        <v>14</v>
      </c>
      <c r="I22" s="23" t="n">
        <v>187</v>
      </c>
      <c r="J22" s="22" t="n">
        <v>3.9</v>
      </c>
      <c r="K22" s="26" t="s">
        <v>33</v>
      </c>
    </row>
    <row r="23" customFormat="false" ht="15" hidden="false" customHeight="false" outlineLevel="0" collapsed="false">
      <c r="A23" s="6" t="s">
        <v>152</v>
      </c>
      <c r="B23" s="6" t="s">
        <v>125</v>
      </c>
      <c r="C23" s="6" t="s">
        <v>32</v>
      </c>
      <c r="D23" s="30" t="s">
        <v>121</v>
      </c>
      <c r="E23" s="16" t="n">
        <v>11469.86</v>
      </c>
      <c r="F23" s="17" t="n">
        <v>30.6</v>
      </c>
      <c r="G23" s="16" t="n">
        <v>1498.13</v>
      </c>
      <c r="H23" s="17" t="n">
        <v>13.1</v>
      </c>
      <c r="I23" s="18" t="n">
        <v>250</v>
      </c>
      <c r="J23" s="17" t="n">
        <v>4</v>
      </c>
      <c r="K23" s="31" t="s">
        <v>33</v>
      </c>
    </row>
    <row r="24" customFormat="false" ht="15" hidden="false" customHeight="false" outlineLevel="0" collapsed="false">
      <c r="A24" s="20" t="s">
        <v>153</v>
      </c>
      <c r="B24" s="20" t="s">
        <v>154</v>
      </c>
      <c r="C24" s="20" t="s">
        <v>34</v>
      </c>
      <c r="D24" s="32" t="s">
        <v>121</v>
      </c>
      <c r="E24" s="21" t="n">
        <v>11437.16</v>
      </c>
      <c r="F24" s="22" t="n">
        <v>31.8</v>
      </c>
      <c r="G24" s="21" t="n">
        <v>2639.24</v>
      </c>
      <c r="H24" s="22" t="n">
        <v>23.1</v>
      </c>
      <c r="I24" s="23" t="n">
        <v>217</v>
      </c>
      <c r="J24" s="22" t="n">
        <v>3</v>
      </c>
      <c r="K24" s="24" t="s">
        <v>30</v>
      </c>
    </row>
    <row r="25" customFormat="false" ht="15" hidden="false" customHeight="false" outlineLevel="0" collapsed="false">
      <c r="A25" s="6" t="s">
        <v>48</v>
      </c>
      <c r="B25" s="6" t="s">
        <v>49</v>
      </c>
      <c r="C25" s="6" t="s">
        <v>27</v>
      </c>
      <c r="D25" s="30" t="s">
        <v>121</v>
      </c>
      <c r="E25" s="16" t="n">
        <v>11268.27</v>
      </c>
      <c r="F25" s="17" t="n">
        <v>33</v>
      </c>
      <c r="G25" s="16" t="n">
        <v>-989.02</v>
      </c>
      <c r="H25" s="17" t="n">
        <v>-8.8</v>
      </c>
      <c r="I25" s="18" t="n">
        <v>327</v>
      </c>
      <c r="J25" s="17" t="n">
        <v>8</v>
      </c>
      <c r="K25" s="19" t="s">
        <v>28</v>
      </c>
    </row>
    <row r="26" customFormat="false" ht="15" hidden="false" customHeight="false" outlineLevel="0" collapsed="false">
      <c r="A26" s="20" t="s">
        <v>44</v>
      </c>
      <c r="B26" s="20" t="s">
        <v>45</v>
      </c>
      <c r="C26" s="20" t="s">
        <v>27</v>
      </c>
      <c r="D26" s="32" t="s">
        <v>121</v>
      </c>
      <c r="E26" s="21" t="n">
        <v>11210.76</v>
      </c>
      <c r="F26" s="22" t="n">
        <v>34.1</v>
      </c>
      <c r="G26" s="21" t="n">
        <v>-1112.79</v>
      </c>
      <c r="H26" s="22" t="n">
        <v>-9.9</v>
      </c>
      <c r="I26" s="23" t="n">
        <v>329</v>
      </c>
      <c r="J26" s="22" t="n">
        <v>8.4</v>
      </c>
      <c r="K26" s="33" t="s">
        <v>28</v>
      </c>
    </row>
    <row r="27" customFormat="false" ht="15" hidden="false" customHeight="false" outlineLevel="0" collapsed="false">
      <c r="A27" s="6" t="s">
        <v>155</v>
      </c>
      <c r="B27" s="6" t="s">
        <v>156</v>
      </c>
      <c r="C27" s="6" t="s">
        <v>32</v>
      </c>
      <c r="D27" s="30" t="s">
        <v>121</v>
      </c>
      <c r="E27" s="16" t="n">
        <v>10517.05</v>
      </c>
      <c r="F27" s="17" t="n">
        <v>35.2</v>
      </c>
      <c r="G27" s="16" t="n">
        <v>1480.12</v>
      </c>
      <c r="H27" s="17" t="n">
        <v>14.1</v>
      </c>
      <c r="I27" s="18" t="n">
        <v>172</v>
      </c>
      <c r="J27" s="17" t="n">
        <v>3.4</v>
      </c>
      <c r="K27" s="31" t="s">
        <v>33</v>
      </c>
    </row>
    <row r="28" customFormat="false" ht="15" hidden="false" customHeight="false" outlineLevel="0" collapsed="false">
      <c r="A28" s="20" t="s">
        <v>42</v>
      </c>
      <c r="B28" s="20" t="s">
        <v>43</v>
      </c>
      <c r="C28" s="20" t="s">
        <v>27</v>
      </c>
      <c r="D28" s="32" t="s">
        <v>121</v>
      </c>
      <c r="E28" s="21" t="n">
        <v>10054.14</v>
      </c>
      <c r="F28" s="22" t="n">
        <v>36.2</v>
      </c>
      <c r="G28" s="21" t="n">
        <v>-1334.68</v>
      </c>
      <c r="H28" s="22" t="n">
        <v>-13.3</v>
      </c>
      <c r="I28" s="23" t="n">
        <v>296</v>
      </c>
      <c r="J28" s="22" t="n">
        <v>8.6</v>
      </c>
      <c r="K28" s="33" t="s">
        <v>28</v>
      </c>
    </row>
    <row r="29" customFormat="false" ht="15" hidden="false" customHeight="false" outlineLevel="0" collapsed="false">
      <c r="A29" s="6" t="s">
        <v>46</v>
      </c>
      <c r="B29" s="6" t="s">
        <v>47</v>
      </c>
      <c r="C29" s="6" t="s">
        <v>27</v>
      </c>
      <c r="D29" s="30" t="s">
        <v>121</v>
      </c>
      <c r="E29" s="16" t="n">
        <v>9923.38</v>
      </c>
      <c r="F29" s="17" t="n">
        <v>37.3</v>
      </c>
      <c r="G29" s="16" t="n">
        <v>-1021.82</v>
      </c>
      <c r="H29" s="17" t="n">
        <v>-10.3</v>
      </c>
      <c r="I29" s="18" t="n">
        <v>303</v>
      </c>
      <c r="J29" s="17" t="n">
        <v>7.9</v>
      </c>
      <c r="K29" s="19" t="s">
        <v>28</v>
      </c>
    </row>
    <row r="30" customFormat="false" ht="15" hidden="false" customHeight="false" outlineLevel="0" collapsed="false">
      <c r="A30" s="20" t="s">
        <v>157</v>
      </c>
      <c r="B30" s="20" t="s">
        <v>158</v>
      </c>
      <c r="C30" s="20" t="s">
        <v>32</v>
      </c>
      <c r="D30" s="32" t="s">
        <v>121</v>
      </c>
      <c r="E30" s="21" t="n">
        <v>9858.44</v>
      </c>
      <c r="F30" s="22" t="n">
        <v>38.3</v>
      </c>
      <c r="G30" s="21" t="n">
        <v>1341.95</v>
      </c>
      <c r="H30" s="22" t="n">
        <v>13.6</v>
      </c>
      <c r="I30" s="23" t="n">
        <v>148</v>
      </c>
      <c r="J30" s="22" t="n">
        <v>3.8</v>
      </c>
      <c r="K30" s="26" t="s">
        <v>33</v>
      </c>
    </row>
    <row r="31" customFormat="false" ht="15" hidden="false" customHeight="false" outlineLevel="0" collapsed="false">
      <c r="A31" s="6" t="s">
        <v>159</v>
      </c>
      <c r="B31" s="6" t="s">
        <v>120</v>
      </c>
      <c r="C31" s="6" t="s">
        <v>32</v>
      </c>
      <c r="D31" s="30" t="s">
        <v>121</v>
      </c>
      <c r="E31" s="16" t="n">
        <v>9802.03</v>
      </c>
      <c r="F31" s="17" t="n">
        <v>39.3</v>
      </c>
      <c r="G31" s="16" t="n">
        <v>1319.7</v>
      </c>
      <c r="H31" s="17" t="n">
        <v>13.5</v>
      </c>
      <c r="I31" s="18" t="n">
        <v>153</v>
      </c>
      <c r="J31" s="17" t="n">
        <v>3.1</v>
      </c>
      <c r="K31" s="31" t="s">
        <v>33</v>
      </c>
    </row>
    <row r="32" customFormat="false" ht="15" hidden="false" customHeight="false" outlineLevel="0" collapsed="false">
      <c r="A32" s="20" t="s">
        <v>72</v>
      </c>
      <c r="B32" s="20" t="s">
        <v>73</v>
      </c>
      <c r="C32" s="20" t="s">
        <v>27</v>
      </c>
      <c r="D32" s="32" t="s">
        <v>121</v>
      </c>
      <c r="E32" s="21" t="n">
        <v>9764.85</v>
      </c>
      <c r="F32" s="22" t="n">
        <v>40.3</v>
      </c>
      <c r="G32" s="21" t="n">
        <v>-504.42</v>
      </c>
      <c r="H32" s="22" t="n">
        <v>-5.2</v>
      </c>
      <c r="I32" s="23" t="n">
        <v>350</v>
      </c>
      <c r="J32" s="22" t="n">
        <v>6.7</v>
      </c>
      <c r="K32" s="33" t="s">
        <v>28</v>
      </c>
    </row>
    <row r="33" customFormat="false" ht="15" hidden="false" customHeight="false" outlineLevel="0" collapsed="false">
      <c r="A33" s="6" t="s">
        <v>160</v>
      </c>
      <c r="B33" s="6" t="s">
        <v>161</v>
      </c>
      <c r="C33" s="6" t="s">
        <v>34</v>
      </c>
      <c r="D33" s="30" t="s">
        <v>121</v>
      </c>
      <c r="E33" s="16" t="n">
        <v>9663.21</v>
      </c>
      <c r="F33" s="17" t="n">
        <v>41.3</v>
      </c>
      <c r="G33" s="16" t="n">
        <v>1829.52</v>
      </c>
      <c r="H33" s="17" t="n">
        <v>18.9</v>
      </c>
      <c r="I33" s="18" t="n">
        <v>192</v>
      </c>
      <c r="J33" s="17" t="n">
        <v>3.2</v>
      </c>
      <c r="K33" s="31" t="s">
        <v>33</v>
      </c>
    </row>
    <row r="34" customFormat="false" ht="15" hidden="false" customHeight="false" outlineLevel="0" collapsed="false">
      <c r="A34" s="20" t="s">
        <v>162</v>
      </c>
      <c r="B34" s="20" t="s">
        <v>163</v>
      </c>
      <c r="C34" s="20" t="s">
        <v>34</v>
      </c>
      <c r="D34" s="32" t="s">
        <v>121</v>
      </c>
      <c r="E34" s="21" t="n">
        <v>9565.1</v>
      </c>
      <c r="F34" s="22" t="n">
        <v>42.3</v>
      </c>
      <c r="G34" s="21" t="n">
        <v>2096.96</v>
      </c>
      <c r="H34" s="22" t="n">
        <v>21.9</v>
      </c>
      <c r="I34" s="23" t="n">
        <v>147</v>
      </c>
      <c r="J34" s="22" t="n">
        <v>3.1</v>
      </c>
      <c r="K34" s="24" t="s">
        <v>30</v>
      </c>
    </row>
    <row r="35" customFormat="false" ht="15" hidden="false" customHeight="false" outlineLevel="0" collapsed="false">
      <c r="A35" s="6" t="s">
        <v>58</v>
      </c>
      <c r="B35" s="6" t="s">
        <v>59</v>
      </c>
      <c r="C35" s="6" t="s">
        <v>27</v>
      </c>
      <c r="D35" s="30" t="s">
        <v>121</v>
      </c>
      <c r="E35" s="16" t="n">
        <v>9515.4</v>
      </c>
      <c r="F35" s="17" t="n">
        <v>43.2</v>
      </c>
      <c r="G35" s="16" t="n">
        <v>-640.93</v>
      </c>
      <c r="H35" s="17" t="n">
        <v>-6.7</v>
      </c>
      <c r="I35" s="18" t="n">
        <v>276</v>
      </c>
      <c r="J35" s="17" t="n">
        <v>8.5</v>
      </c>
      <c r="K35" s="19" t="s">
        <v>28</v>
      </c>
    </row>
    <row r="36" customFormat="false" ht="15" hidden="false" customHeight="false" outlineLevel="0" collapsed="false">
      <c r="A36" s="20" t="s">
        <v>164</v>
      </c>
      <c r="B36" s="20" t="s">
        <v>130</v>
      </c>
      <c r="C36" s="20" t="s">
        <v>32</v>
      </c>
      <c r="D36" s="32" t="s">
        <v>121</v>
      </c>
      <c r="E36" s="21" t="n">
        <v>9495.61</v>
      </c>
      <c r="F36" s="22" t="n">
        <v>44.2</v>
      </c>
      <c r="G36" s="21" t="n">
        <v>1331.35</v>
      </c>
      <c r="H36" s="22" t="n">
        <v>14</v>
      </c>
      <c r="I36" s="23" t="n">
        <v>107</v>
      </c>
      <c r="J36" s="22" t="n">
        <v>3.8</v>
      </c>
      <c r="K36" s="26" t="s">
        <v>33</v>
      </c>
    </row>
    <row r="37" customFormat="false" ht="15" hidden="false" customHeight="false" outlineLevel="0" collapsed="false">
      <c r="A37" s="6" t="s">
        <v>165</v>
      </c>
      <c r="B37" s="6" t="s">
        <v>166</v>
      </c>
      <c r="C37" s="6" t="s">
        <v>34</v>
      </c>
      <c r="D37" s="30" t="s">
        <v>121</v>
      </c>
      <c r="E37" s="16" t="n">
        <v>9446.04</v>
      </c>
      <c r="F37" s="17" t="n">
        <v>45.2</v>
      </c>
      <c r="G37" s="16" t="n">
        <v>1986.91</v>
      </c>
      <c r="H37" s="17" t="n">
        <v>21</v>
      </c>
      <c r="I37" s="18" t="n">
        <v>149</v>
      </c>
      <c r="J37" s="17" t="n">
        <v>3.3</v>
      </c>
      <c r="K37" s="25" t="s">
        <v>30</v>
      </c>
    </row>
    <row r="38" customFormat="false" ht="15" hidden="false" customHeight="false" outlineLevel="0" collapsed="false">
      <c r="A38" s="20" t="s">
        <v>167</v>
      </c>
      <c r="B38" s="20" t="s">
        <v>168</v>
      </c>
      <c r="C38" s="20" t="s">
        <v>34</v>
      </c>
      <c r="D38" s="32" t="s">
        <v>121</v>
      </c>
      <c r="E38" s="21" t="n">
        <v>9405</v>
      </c>
      <c r="F38" s="22" t="n">
        <v>46.2</v>
      </c>
      <c r="G38" s="21" t="n">
        <v>2038.77</v>
      </c>
      <c r="H38" s="22" t="n">
        <v>21.7</v>
      </c>
      <c r="I38" s="23" t="n">
        <v>215</v>
      </c>
      <c r="J38" s="22" t="n">
        <v>2.3</v>
      </c>
      <c r="K38" s="24" t="s">
        <v>30</v>
      </c>
    </row>
    <row r="39" customFormat="false" ht="15" hidden="false" customHeight="false" outlineLevel="0" collapsed="false">
      <c r="A39" s="6" t="s">
        <v>169</v>
      </c>
      <c r="B39" s="6" t="s">
        <v>170</v>
      </c>
      <c r="C39" s="6" t="s">
        <v>32</v>
      </c>
      <c r="D39" s="30" t="s">
        <v>121</v>
      </c>
      <c r="E39" s="16" t="n">
        <v>9389.22</v>
      </c>
      <c r="F39" s="17" t="n">
        <v>47.1</v>
      </c>
      <c r="G39" s="16" t="n">
        <v>1196.52</v>
      </c>
      <c r="H39" s="17" t="n">
        <v>12.7</v>
      </c>
      <c r="I39" s="18" t="n">
        <v>182</v>
      </c>
      <c r="J39" s="17" t="n">
        <v>3.9</v>
      </c>
      <c r="K39" s="31" t="s">
        <v>33</v>
      </c>
    </row>
    <row r="40" customFormat="false" ht="15" hidden="false" customHeight="false" outlineLevel="0" collapsed="false">
      <c r="A40" s="20" t="s">
        <v>171</v>
      </c>
      <c r="B40" s="20" t="s">
        <v>172</v>
      </c>
      <c r="C40" s="20" t="s">
        <v>34</v>
      </c>
      <c r="D40" s="32" t="s">
        <v>121</v>
      </c>
      <c r="E40" s="21" t="n">
        <v>9188.2</v>
      </c>
      <c r="F40" s="22" t="n">
        <v>48.1</v>
      </c>
      <c r="G40" s="21" t="n">
        <v>2307.79</v>
      </c>
      <c r="H40" s="22" t="n">
        <v>25.1</v>
      </c>
      <c r="I40" s="23" t="n">
        <v>215</v>
      </c>
      <c r="J40" s="22" t="n">
        <v>2.5</v>
      </c>
      <c r="K40" s="24" t="s">
        <v>30</v>
      </c>
    </row>
    <row r="41" customFormat="false" ht="15" hidden="false" customHeight="false" outlineLevel="0" collapsed="false">
      <c r="A41" s="6" t="s">
        <v>173</v>
      </c>
      <c r="B41" s="6" t="s">
        <v>174</v>
      </c>
      <c r="C41" s="6" t="s">
        <v>34</v>
      </c>
      <c r="D41" s="30" t="s">
        <v>121</v>
      </c>
      <c r="E41" s="16" t="n">
        <v>9135.31</v>
      </c>
      <c r="F41" s="17" t="n">
        <v>49</v>
      </c>
      <c r="G41" s="16" t="n">
        <v>1875.9</v>
      </c>
      <c r="H41" s="17" t="n">
        <v>20.5</v>
      </c>
      <c r="I41" s="18" t="n">
        <v>194</v>
      </c>
      <c r="J41" s="17" t="n">
        <v>3.5</v>
      </c>
      <c r="K41" s="25" t="s">
        <v>30</v>
      </c>
    </row>
    <row r="42" customFormat="false" ht="15" hidden="false" customHeight="false" outlineLevel="0" collapsed="false">
      <c r="A42" s="20" t="s">
        <v>175</v>
      </c>
      <c r="B42" s="20" t="s">
        <v>176</v>
      </c>
      <c r="C42" s="20" t="s">
        <v>31</v>
      </c>
      <c r="D42" s="32" t="s">
        <v>121</v>
      </c>
      <c r="E42" s="21" t="n">
        <v>9128.08</v>
      </c>
      <c r="F42" s="22" t="n">
        <v>49.9</v>
      </c>
      <c r="G42" s="21" t="n">
        <v>2743.2</v>
      </c>
      <c r="H42" s="22" t="n">
        <v>30.1</v>
      </c>
      <c r="I42" s="23" t="n">
        <v>187</v>
      </c>
      <c r="J42" s="22" t="n">
        <v>2.5</v>
      </c>
      <c r="K42" s="24" t="s">
        <v>30</v>
      </c>
    </row>
    <row r="43" customFormat="false" ht="15" hidden="false" customHeight="false" outlineLevel="0" collapsed="false">
      <c r="A43" s="6" t="s">
        <v>68</v>
      </c>
      <c r="B43" s="6" t="s">
        <v>69</v>
      </c>
      <c r="C43" s="6" t="s">
        <v>27</v>
      </c>
      <c r="D43" s="30" t="s">
        <v>121</v>
      </c>
      <c r="E43" s="16" t="n">
        <v>9060.59</v>
      </c>
      <c r="F43" s="17" t="n">
        <v>50.9</v>
      </c>
      <c r="G43" s="16" t="n">
        <v>-523.12</v>
      </c>
      <c r="H43" s="17" t="n">
        <v>-5.8</v>
      </c>
      <c r="I43" s="18" t="n">
        <v>284</v>
      </c>
      <c r="J43" s="17" t="n">
        <v>7.9</v>
      </c>
      <c r="K43" s="19" t="s">
        <v>28</v>
      </c>
    </row>
    <row r="44" customFormat="false" ht="15" hidden="false" customHeight="false" outlineLevel="0" collapsed="false">
      <c r="A44" s="20" t="s">
        <v>177</v>
      </c>
      <c r="B44" s="20" t="s">
        <v>148</v>
      </c>
      <c r="C44" s="20" t="s">
        <v>34</v>
      </c>
      <c r="D44" s="32" t="s">
        <v>121</v>
      </c>
      <c r="E44" s="21" t="n">
        <v>8902.31</v>
      </c>
      <c r="F44" s="22" t="n">
        <v>51.8</v>
      </c>
      <c r="G44" s="21" t="n">
        <v>1681.53</v>
      </c>
      <c r="H44" s="22" t="n">
        <v>18.9</v>
      </c>
      <c r="I44" s="23" t="n">
        <v>150</v>
      </c>
      <c r="J44" s="22" t="n">
        <v>3.7</v>
      </c>
      <c r="K44" s="26" t="s">
        <v>33</v>
      </c>
    </row>
    <row r="45" customFormat="false" ht="15" hidden="false" customHeight="false" outlineLevel="0" collapsed="false">
      <c r="A45" s="6" t="s">
        <v>178</v>
      </c>
      <c r="B45" s="6" t="s">
        <v>179</v>
      </c>
      <c r="C45" s="6" t="s">
        <v>34</v>
      </c>
      <c r="D45" s="30" t="s">
        <v>121</v>
      </c>
      <c r="E45" s="16" t="n">
        <v>8673.66</v>
      </c>
      <c r="F45" s="17" t="n">
        <v>52.7</v>
      </c>
      <c r="G45" s="16" t="n">
        <v>1847.85</v>
      </c>
      <c r="H45" s="17" t="n">
        <v>21.3</v>
      </c>
      <c r="I45" s="18" t="n">
        <v>258</v>
      </c>
      <c r="J45" s="17" t="n">
        <v>2.6</v>
      </c>
      <c r="K45" s="25" t="s">
        <v>30</v>
      </c>
    </row>
    <row r="46" customFormat="false" ht="15" hidden="false" customHeight="false" outlineLevel="0" collapsed="false">
      <c r="A46" s="20" t="s">
        <v>180</v>
      </c>
      <c r="B46" s="20" t="s">
        <v>181</v>
      </c>
      <c r="C46" s="20" t="s">
        <v>32</v>
      </c>
      <c r="D46" s="32" t="s">
        <v>121</v>
      </c>
      <c r="E46" s="21" t="n">
        <v>8617.03</v>
      </c>
      <c r="F46" s="22" t="n">
        <v>53.6</v>
      </c>
      <c r="G46" s="21" t="n">
        <v>1021.41</v>
      </c>
      <c r="H46" s="22" t="n">
        <v>11.9</v>
      </c>
      <c r="I46" s="23" t="n">
        <v>293</v>
      </c>
      <c r="J46" s="22" t="n">
        <v>3.8</v>
      </c>
      <c r="K46" s="26" t="s">
        <v>33</v>
      </c>
    </row>
    <row r="47" customFormat="false" ht="15" hidden="false" customHeight="false" outlineLevel="0" collapsed="false">
      <c r="A47" s="6" t="s">
        <v>182</v>
      </c>
      <c r="B47" s="6" t="s">
        <v>183</v>
      </c>
      <c r="C47" s="6" t="s">
        <v>34</v>
      </c>
      <c r="D47" s="30" t="s">
        <v>121</v>
      </c>
      <c r="E47" s="16" t="n">
        <v>8588.94</v>
      </c>
      <c r="F47" s="17" t="n">
        <v>54.4</v>
      </c>
      <c r="G47" s="16" t="n">
        <v>1708.5</v>
      </c>
      <c r="H47" s="17" t="n">
        <v>19.9</v>
      </c>
      <c r="I47" s="18" t="n">
        <v>148</v>
      </c>
      <c r="J47" s="17" t="n">
        <v>3.2</v>
      </c>
      <c r="K47" s="31" t="s">
        <v>33</v>
      </c>
    </row>
    <row r="48" customFormat="false" ht="15" hidden="false" customHeight="false" outlineLevel="0" collapsed="false">
      <c r="A48" s="20" t="s">
        <v>54</v>
      </c>
      <c r="B48" s="20" t="s">
        <v>55</v>
      </c>
      <c r="C48" s="20" t="s">
        <v>27</v>
      </c>
      <c r="D48" s="32" t="s">
        <v>121</v>
      </c>
      <c r="E48" s="21" t="n">
        <v>8498.26</v>
      </c>
      <c r="F48" s="22" t="n">
        <v>55.3</v>
      </c>
      <c r="G48" s="21" t="n">
        <v>-813.54</v>
      </c>
      <c r="H48" s="22" t="n">
        <v>-9.6</v>
      </c>
      <c r="I48" s="23" t="n">
        <v>230</v>
      </c>
      <c r="J48" s="22" t="n">
        <v>9</v>
      </c>
      <c r="K48" s="33" t="s">
        <v>28</v>
      </c>
    </row>
    <row r="49" customFormat="false" ht="15" hidden="false" customHeight="false" outlineLevel="0" collapsed="false">
      <c r="A49" s="6" t="s">
        <v>184</v>
      </c>
      <c r="B49" s="6" t="s">
        <v>185</v>
      </c>
      <c r="C49" s="6" t="s">
        <v>34</v>
      </c>
      <c r="D49" s="30" t="s">
        <v>121</v>
      </c>
      <c r="E49" s="16" t="n">
        <v>8223.28</v>
      </c>
      <c r="F49" s="17" t="n">
        <v>56.2</v>
      </c>
      <c r="G49" s="16" t="n">
        <v>1910.19</v>
      </c>
      <c r="H49" s="17" t="n">
        <v>23.2</v>
      </c>
      <c r="I49" s="18" t="n">
        <v>159</v>
      </c>
      <c r="J49" s="17" t="n">
        <v>2.7</v>
      </c>
      <c r="K49" s="25" t="s">
        <v>30</v>
      </c>
    </row>
    <row r="50" customFormat="false" ht="15" hidden="false" customHeight="false" outlineLevel="0" collapsed="false">
      <c r="A50" s="20" t="s">
        <v>186</v>
      </c>
      <c r="B50" s="20" t="s">
        <v>187</v>
      </c>
      <c r="C50" s="20" t="s">
        <v>32</v>
      </c>
      <c r="D50" s="32" t="s">
        <v>121</v>
      </c>
      <c r="E50" s="21" t="n">
        <v>8201.65</v>
      </c>
      <c r="F50" s="22" t="n">
        <v>57</v>
      </c>
      <c r="G50" s="21" t="n">
        <v>1292.5</v>
      </c>
      <c r="H50" s="22" t="n">
        <v>15.8</v>
      </c>
      <c r="I50" s="23" t="n">
        <v>116</v>
      </c>
      <c r="J50" s="22" t="n">
        <v>3.3</v>
      </c>
      <c r="K50" s="26" t="s">
        <v>33</v>
      </c>
    </row>
    <row r="51" customFormat="false" ht="15" hidden="false" customHeight="false" outlineLevel="0" collapsed="false">
      <c r="A51" s="6" t="s">
        <v>188</v>
      </c>
      <c r="B51" s="6" t="s">
        <v>189</v>
      </c>
      <c r="C51" s="6" t="s">
        <v>34</v>
      </c>
      <c r="D51" s="30" t="s">
        <v>121</v>
      </c>
      <c r="E51" s="16" t="n">
        <v>8109.98</v>
      </c>
      <c r="F51" s="17" t="n">
        <v>57.8</v>
      </c>
      <c r="G51" s="16" t="n">
        <v>1700.53</v>
      </c>
      <c r="H51" s="17" t="n">
        <v>21</v>
      </c>
      <c r="I51" s="18" t="n">
        <v>267</v>
      </c>
      <c r="J51" s="17" t="n">
        <v>3.7</v>
      </c>
      <c r="K51" s="25" t="s">
        <v>30</v>
      </c>
    </row>
    <row r="52" customFormat="false" ht="15" hidden="false" customHeight="false" outlineLevel="0" collapsed="false">
      <c r="A52" s="20" t="s">
        <v>190</v>
      </c>
      <c r="B52" s="20" t="s">
        <v>191</v>
      </c>
      <c r="C52" s="20" t="s">
        <v>34</v>
      </c>
      <c r="D52" s="32" t="s">
        <v>121</v>
      </c>
      <c r="E52" s="21" t="n">
        <v>8025.17</v>
      </c>
      <c r="F52" s="22" t="n">
        <v>58.7</v>
      </c>
      <c r="G52" s="21" t="n">
        <v>1679.98</v>
      </c>
      <c r="H52" s="22" t="n">
        <v>20.9</v>
      </c>
      <c r="I52" s="23" t="n">
        <v>154</v>
      </c>
      <c r="J52" s="22" t="n">
        <v>3.3</v>
      </c>
      <c r="K52" s="24" t="s">
        <v>30</v>
      </c>
    </row>
    <row r="53" customFormat="false" ht="15" hidden="false" customHeight="false" outlineLevel="0" collapsed="false">
      <c r="A53" s="6" t="s">
        <v>52</v>
      </c>
      <c r="B53" s="6" t="s">
        <v>53</v>
      </c>
      <c r="C53" s="6" t="s">
        <v>27</v>
      </c>
      <c r="D53" s="30" t="s">
        <v>121</v>
      </c>
      <c r="E53" s="16" t="n">
        <v>7974.93</v>
      </c>
      <c r="F53" s="17" t="n">
        <v>59.5</v>
      </c>
      <c r="G53" s="16" t="n">
        <v>-907.5</v>
      </c>
      <c r="H53" s="17" t="n">
        <v>-11.4</v>
      </c>
      <c r="I53" s="18" t="n">
        <v>251</v>
      </c>
      <c r="J53" s="17" t="n">
        <v>7.4</v>
      </c>
      <c r="K53" s="19" t="s">
        <v>28</v>
      </c>
    </row>
    <row r="54" customFormat="false" ht="15" hidden="false" customHeight="false" outlineLevel="0" collapsed="false">
      <c r="A54" s="20" t="s">
        <v>192</v>
      </c>
      <c r="B54" s="20" t="s">
        <v>193</v>
      </c>
      <c r="C54" s="20" t="s">
        <v>34</v>
      </c>
      <c r="D54" s="32" t="s">
        <v>121</v>
      </c>
      <c r="E54" s="21" t="n">
        <v>7938.76</v>
      </c>
      <c r="F54" s="22" t="n">
        <v>60.3</v>
      </c>
      <c r="G54" s="21" t="n">
        <v>1650.53</v>
      </c>
      <c r="H54" s="22" t="n">
        <v>20.8</v>
      </c>
      <c r="I54" s="23" t="n">
        <v>169</v>
      </c>
      <c r="J54" s="22" t="n">
        <v>2.7</v>
      </c>
      <c r="K54" s="24" t="s">
        <v>30</v>
      </c>
    </row>
    <row r="55" customFormat="false" ht="15" hidden="false" customHeight="false" outlineLevel="0" collapsed="false">
      <c r="A55" s="6" t="s">
        <v>194</v>
      </c>
      <c r="B55" s="6" t="s">
        <v>150</v>
      </c>
      <c r="C55" s="6" t="s">
        <v>34</v>
      </c>
      <c r="D55" s="30" t="s">
        <v>121</v>
      </c>
      <c r="E55" s="16" t="n">
        <v>7892.43</v>
      </c>
      <c r="F55" s="17" t="n">
        <v>61.1</v>
      </c>
      <c r="G55" s="16" t="n">
        <v>1741.78</v>
      </c>
      <c r="H55" s="17" t="n">
        <v>22.1</v>
      </c>
      <c r="I55" s="18" t="n">
        <v>191</v>
      </c>
      <c r="J55" s="17" t="n">
        <v>3</v>
      </c>
      <c r="K55" s="25" t="s">
        <v>30</v>
      </c>
    </row>
    <row r="56" customFormat="false" ht="15" hidden="false" customHeight="false" outlineLevel="0" collapsed="false">
      <c r="A56" s="20" t="s">
        <v>195</v>
      </c>
      <c r="B56" s="20" t="s">
        <v>196</v>
      </c>
      <c r="C56" s="20" t="s">
        <v>31</v>
      </c>
      <c r="D56" s="32" t="s">
        <v>121</v>
      </c>
      <c r="E56" s="21" t="n">
        <v>7823.26</v>
      </c>
      <c r="F56" s="22" t="n">
        <v>61.9</v>
      </c>
      <c r="G56" s="21" t="n">
        <v>2388.99</v>
      </c>
      <c r="H56" s="22" t="n">
        <v>30.5</v>
      </c>
      <c r="I56" s="23" t="n">
        <v>204</v>
      </c>
      <c r="J56" s="22" t="n">
        <v>2.4</v>
      </c>
      <c r="K56" s="24" t="s">
        <v>30</v>
      </c>
    </row>
    <row r="57" customFormat="false" ht="15" hidden="false" customHeight="false" outlineLevel="0" collapsed="false">
      <c r="A57" s="6" t="s">
        <v>197</v>
      </c>
      <c r="B57" s="6" t="s">
        <v>179</v>
      </c>
      <c r="C57" s="6" t="s">
        <v>34</v>
      </c>
      <c r="D57" s="30" t="s">
        <v>121</v>
      </c>
      <c r="E57" s="16" t="n">
        <v>7262.62</v>
      </c>
      <c r="F57" s="17" t="n">
        <v>62.7</v>
      </c>
      <c r="G57" s="16" t="n">
        <v>1520.44</v>
      </c>
      <c r="H57" s="17" t="n">
        <v>20.9</v>
      </c>
      <c r="I57" s="18" t="n">
        <v>198</v>
      </c>
      <c r="J57" s="17" t="n">
        <v>2.7</v>
      </c>
      <c r="K57" s="25" t="s">
        <v>30</v>
      </c>
    </row>
    <row r="58" customFormat="false" ht="15" hidden="false" customHeight="false" outlineLevel="0" collapsed="false">
      <c r="A58" s="20" t="s">
        <v>70</v>
      </c>
      <c r="B58" s="20" t="s">
        <v>71</v>
      </c>
      <c r="C58" s="20" t="s">
        <v>27</v>
      </c>
      <c r="D58" s="32" t="s">
        <v>121</v>
      </c>
      <c r="E58" s="21" t="n">
        <v>6873.38</v>
      </c>
      <c r="F58" s="22" t="n">
        <v>63.4</v>
      </c>
      <c r="G58" s="21" t="n">
        <v>-508.69</v>
      </c>
      <c r="H58" s="22" t="n">
        <v>-7.4</v>
      </c>
      <c r="I58" s="23" t="n">
        <v>171</v>
      </c>
      <c r="J58" s="22" t="n">
        <v>7.6</v>
      </c>
      <c r="K58" s="33" t="s">
        <v>28</v>
      </c>
    </row>
    <row r="59" customFormat="false" ht="15" hidden="false" customHeight="false" outlineLevel="0" collapsed="false">
      <c r="A59" s="6" t="s">
        <v>50</v>
      </c>
      <c r="B59" s="6" t="s">
        <v>51</v>
      </c>
      <c r="C59" s="6" t="s">
        <v>27</v>
      </c>
      <c r="D59" s="30" t="s">
        <v>121</v>
      </c>
      <c r="E59" s="16" t="n">
        <v>6833.96</v>
      </c>
      <c r="F59" s="17" t="n">
        <v>64.1</v>
      </c>
      <c r="G59" s="16" t="n">
        <v>-956.82</v>
      </c>
      <c r="H59" s="17" t="n">
        <v>-14</v>
      </c>
      <c r="I59" s="18" t="n">
        <v>268</v>
      </c>
      <c r="J59" s="17" t="n">
        <v>8.9</v>
      </c>
      <c r="K59" s="19" t="s">
        <v>28</v>
      </c>
    </row>
    <row r="60" customFormat="false" ht="15" hidden="false" customHeight="false" outlineLevel="0" collapsed="false">
      <c r="A60" s="20" t="s">
        <v>198</v>
      </c>
      <c r="B60" s="20" t="s">
        <v>199</v>
      </c>
      <c r="C60" s="20" t="s">
        <v>32</v>
      </c>
      <c r="D60" s="32" t="s">
        <v>121</v>
      </c>
      <c r="E60" s="21" t="n">
        <v>6794.57</v>
      </c>
      <c r="F60" s="22" t="n">
        <v>64.8</v>
      </c>
      <c r="G60" s="21" t="n">
        <v>810.56</v>
      </c>
      <c r="H60" s="22" t="n">
        <v>11.9</v>
      </c>
      <c r="I60" s="23" t="n">
        <v>136</v>
      </c>
      <c r="J60" s="22" t="n">
        <v>3.7</v>
      </c>
      <c r="K60" s="26" t="s">
        <v>33</v>
      </c>
    </row>
    <row r="61" customFormat="false" ht="15" hidden="false" customHeight="false" outlineLevel="0" collapsed="false">
      <c r="A61" s="6" t="s">
        <v>101</v>
      </c>
      <c r="B61" s="6" t="s">
        <v>102</v>
      </c>
      <c r="C61" s="6" t="s">
        <v>27</v>
      </c>
      <c r="D61" s="30" t="s">
        <v>121</v>
      </c>
      <c r="E61" s="16" t="n">
        <v>6648.82</v>
      </c>
      <c r="F61" s="17" t="n">
        <v>65.5</v>
      </c>
      <c r="G61" s="16" t="n">
        <v>-250.83</v>
      </c>
      <c r="H61" s="17" t="n">
        <v>-3.8</v>
      </c>
      <c r="I61" s="18" t="n">
        <v>251</v>
      </c>
      <c r="J61" s="17" t="n">
        <v>6.3</v>
      </c>
      <c r="K61" s="19" t="s">
        <v>28</v>
      </c>
    </row>
    <row r="62" customFormat="false" ht="15" hidden="false" customHeight="false" outlineLevel="0" collapsed="false">
      <c r="A62" s="20" t="s">
        <v>200</v>
      </c>
      <c r="B62" s="20" t="s">
        <v>179</v>
      </c>
      <c r="C62" s="20" t="s">
        <v>34</v>
      </c>
      <c r="D62" s="32" t="s">
        <v>121</v>
      </c>
      <c r="E62" s="21" t="n">
        <v>5896.38</v>
      </c>
      <c r="F62" s="22" t="n">
        <v>66.1</v>
      </c>
      <c r="G62" s="21" t="n">
        <v>1191.57</v>
      </c>
      <c r="H62" s="22" t="n">
        <v>20.2</v>
      </c>
      <c r="I62" s="23" t="n">
        <v>108</v>
      </c>
      <c r="J62" s="22" t="n">
        <v>2.7</v>
      </c>
      <c r="K62" s="24" t="s">
        <v>30</v>
      </c>
    </row>
    <row r="63" customFormat="false" ht="15" hidden="false" customHeight="false" outlineLevel="0" collapsed="false">
      <c r="A63" s="6" t="s">
        <v>74</v>
      </c>
      <c r="B63" s="6" t="s">
        <v>75</v>
      </c>
      <c r="C63" s="6" t="s">
        <v>27</v>
      </c>
      <c r="D63" s="30" t="s">
        <v>121</v>
      </c>
      <c r="E63" s="16" t="n">
        <v>5855.31</v>
      </c>
      <c r="F63" s="17" t="n">
        <v>66.7</v>
      </c>
      <c r="G63" s="16" t="n">
        <v>-432.31</v>
      </c>
      <c r="H63" s="17" t="n">
        <v>-7.4</v>
      </c>
      <c r="I63" s="18" t="n">
        <v>187</v>
      </c>
      <c r="J63" s="17" t="n">
        <v>6.7</v>
      </c>
      <c r="K63" s="19" t="s">
        <v>28</v>
      </c>
    </row>
    <row r="64" customFormat="false" ht="15" hidden="false" customHeight="false" outlineLevel="0" collapsed="false">
      <c r="A64" s="20" t="s">
        <v>201</v>
      </c>
      <c r="B64" s="20" t="s">
        <v>127</v>
      </c>
      <c r="C64" s="20" t="s">
        <v>32</v>
      </c>
      <c r="D64" s="32" t="s">
        <v>121</v>
      </c>
      <c r="E64" s="21" t="n">
        <v>5807.25</v>
      </c>
      <c r="F64" s="22" t="n">
        <v>67.3</v>
      </c>
      <c r="G64" s="21" t="n">
        <v>674.15</v>
      </c>
      <c r="H64" s="22" t="n">
        <v>11.6</v>
      </c>
      <c r="I64" s="23" t="n">
        <v>132</v>
      </c>
      <c r="J64" s="22" t="n">
        <v>3.6</v>
      </c>
      <c r="K64" s="26" t="s">
        <v>33</v>
      </c>
    </row>
    <row r="65" customFormat="false" ht="15" hidden="false" customHeight="false" outlineLevel="0" collapsed="false">
      <c r="A65" s="6" t="s">
        <v>202</v>
      </c>
      <c r="B65" s="6" t="s">
        <v>203</v>
      </c>
      <c r="C65" s="6" t="s">
        <v>34</v>
      </c>
      <c r="D65" s="30" t="s">
        <v>121</v>
      </c>
      <c r="E65" s="16" t="n">
        <v>5581.86</v>
      </c>
      <c r="F65" s="17" t="n">
        <v>67.8</v>
      </c>
      <c r="G65" s="16" t="n">
        <v>1109.88</v>
      </c>
      <c r="H65" s="17" t="n">
        <v>19.9</v>
      </c>
      <c r="I65" s="18" t="n">
        <v>227</v>
      </c>
      <c r="J65" s="17" t="n">
        <v>2.9</v>
      </c>
      <c r="K65" s="31" t="s">
        <v>33</v>
      </c>
    </row>
    <row r="66" customFormat="false" ht="15" hidden="false" customHeight="false" outlineLevel="0" collapsed="false">
      <c r="A66" s="20" t="s">
        <v>204</v>
      </c>
      <c r="B66" s="20" t="s">
        <v>179</v>
      </c>
      <c r="C66" s="20" t="s">
        <v>34</v>
      </c>
      <c r="D66" s="32" t="s">
        <v>121</v>
      </c>
      <c r="E66" s="21" t="n">
        <v>5564.36</v>
      </c>
      <c r="F66" s="22" t="n">
        <v>68.4</v>
      </c>
      <c r="G66" s="21" t="n">
        <v>879.56</v>
      </c>
      <c r="H66" s="22" t="n">
        <v>15.8</v>
      </c>
      <c r="I66" s="23" t="n">
        <v>97</v>
      </c>
      <c r="J66" s="22" t="n">
        <v>3.3</v>
      </c>
      <c r="K66" s="26" t="s">
        <v>33</v>
      </c>
    </row>
    <row r="67" customFormat="false" ht="15" hidden="false" customHeight="false" outlineLevel="0" collapsed="false">
      <c r="A67" s="6" t="s">
        <v>90</v>
      </c>
      <c r="B67" s="6" t="s">
        <v>77</v>
      </c>
      <c r="C67" s="6" t="s">
        <v>27</v>
      </c>
      <c r="D67" s="30" t="s">
        <v>121</v>
      </c>
      <c r="E67" s="16" t="n">
        <v>5492.74</v>
      </c>
      <c r="F67" s="17" t="n">
        <v>69</v>
      </c>
      <c r="G67" s="16" t="n">
        <v>-328.29</v>
      </c>
      <c r="H67" s="17" t="n">
        <v>-6</v>
      </c>
      <c r="I67" s="18" t="n">
        <v>249</v>
      </c>
      <c r="J67" s="17" t="n">
        <v>6.6</v>
      </c>
      <c r="K67" s="19" t="s">
        <v>28</v>
      </c>
    </row>
    <row r="68" customFormat="false" ht="15" hidden="false" customHeight="false" outlineLevel="0" collapsed="false">
      <c r="A68" s="20" t="s">
        <v>205</v>
      </c>
      <c r="B68" s="20" t="s">
        <v>206</v>
      </c>
      <c r="C68" s="20" t="s">
        <v>32</v>
      </c>
      <c r="D68" s="32" t="s">
        <v>121</v>
      </c>
      <c r="E68" s="21" t="n">
        <v>5475.88</v>
      </c>
      <c r="F68" s="22" t="n">
        <v>69.5</v>
      </c>
      <c r="G68" s="21" t="n">
        <v>565.31</v>
      </c>
      <c r="H68" s="22" t="n">
        <v>10.3</v>
      </c>
      <c r="I68" s="23" t="n">
        <v>310</v>
      </c>
      <c r="J68" s="22" t="n">
        <v>4.8</v>
      </c>
      <c r="K68" s="26" t="s">
        <v>33</v>
      </c>
    </row>
    <row r="69" customFormat="false" ht="15" hidden="false" customHeight="false" outlineLevel="0" collapsed="false">
      <c r="A69" s="6" t="s">
        <v>78</v>
      </c>
      <c r="B69" s="6" t="s">
        <v>79</v>
      </c>
      <c r="C69" s="6" t="s">
        <v>27</v>
      </c>
      <c r="D69" s="30" t="s">
        <v>121</v>
      </c>
      <c r="E69" s="16" t="n">
        <v>5377.33</v>
      </c>
      <c r="F69" s="17" t="n">
        <v>70.1</v>
      </c>
      <c r="G69" s="16" t="n">
        <v>-411.88</v>
      </c>
      <c r="H69" s="17" t="n">
        <v>-7.7</v>
      </c>
      <c r="I69" s="18" t="n">
        <v>181</v>
      </c>
      <c r="J69" s="17" t="n">
        <v>7</v>
      </c>
      <c r="K69" s="19" t="s">
        <v>28</v>
      </c>
    </row>
    <row r="70" customFormat="false" ht="15" hidden="false" customHeight="false" outlineLevel="0" collapsed="false">
      <c r="A70" s="20" t="s">
        <v>60</v>
      </c>
      <c r="B70" s="20" t="s">
        <v>61</v>
      </c>
      <c r="C70" s="20" t="s">
        <v>27</v>
      </c>
      <c r="D70" s="32" t="s">
        <v>121</v>
      </c>
      <c r="E70" s="21" t="n">
        <v>5322.64</v>
      </c>
      <c r="F70" s="22" t="n">
        <v>70.6</v>
      </c>
      <c r="G70" s="21" t="n">
        <v>-560.03</v>
      </c>
      <c r="H70" s="22" t="n">
        <v>-10.5</v>
      </c>
      <c r="I70" s="23" t="n">
        <v>319</v>
      </c>
      <c r="J70" s="22" t="n">
        <v>7</v>
      </c>
      <c r="K70" s="33" t="s">
        <v>28</v>
      </c>
    </row>
    <row r="71" customFormat="false" ht="15" hidden="false" customHeight="false" outlineLevel="0" collapsed="false">
      <c r="A71" s="6" t="s">
        <v>207</v>
      </c>
      <c r="B71" s="6" t="s">
        <v>193</v>
      </c>
      <c r="C71" s="6" t="s">
        <v>34</v>
      </c>
      <c r="D71" s="30" t="s">
        <v>121</v>
      </c>
      <c r="E71" s="16" t="n">
        <v>5301.1</v>
      </c>
      <c r="F71" s="17" t="n">
        <v>71.2</v>
      </c>
      <c r="G71" s="16" t="n">
        <v>1097.19</v>
      </c>
      <c r="H71" s="17" t="n">
        <v>20.7</v>
      </c>
      <c r="I71" s="18" t="n">
        <v>118</v>
      </c>
      <c r="J71" s="17" t="n">
        <v>3</v>
      </c>
      <c r="K71" s="25" t="s">
        <v>30</v>
      </c>
    </row>
    <row r="72" customFormat="false" ht="15" hidden="false" customHeight="false" outlineLevel="0" collapsed="false">
      <c r="A72" s="20" t="s">
        <v>208</v>
      </c>
      <c r="B72" s="20" t="s">
        <v>209</v>
      </c>
      <c r="C72" s="20" t="s">
        <v>34</v>
      </c>
      <c r="D72" s="32" t="s">
        <v>121</v>
      </c>
      <c r="E72" s="21" t="n">
        <v>5250.31</v>
      </c>
      <c r="F72" s="22" t="n">
        <v>71.7</v>
      </c>
      <c r="G72" s="21" t="n">
        <v>1117.13</v>
      </c>
      <c r="H72" s="22" t="n">
        <v>21.3</v>
      </c>
      <c r="I72" s="23" t="n">
        <v>184</v>
      </c>
      <c r="J72" s="22" t="n">
        <v>3</v>
      </c>
      <c r="K72" s="24" t="s">
        <v>30</v>
      </c>
    </row>
    <row r="73" customFormat="false" ht="15" hidden="false" customHeight="false" outlineLevel="0" collapsed="false">
      <c r="A73" s="6" t="s">
        <v>81</v>
      </c>
      <c r="B73" s="6" t="s">
        <v>82</v>
      </c>
      <c r="C73" s="6" t="s">
        <v>27</v>
      </c>
      <c r="D73" s="30" t="s">
        <v>121</v>
      </c>
      <c r="E73" s="16" t="n">
        <v>5081.84</v>
      </c>
      <c r="F73" s="17" t="n">
        <v>72.2</v>
      </c>
      <c r="G73" s="16" t="n">
        <v>-380.44</v>
      </c>
      <c r="H73" s="17" t="n">
        <v>-7.5</v>
      </c>
      <c r="I73" s="18" t="n">
        <v>186</v>
      </c>
      <c r="J73" s="17" t="n">
        <v>8.7</v>
      </c>
      <c r="K73" s="19" t="s">
        <v>28</v>
      </c>
    </row>
    <row r="74" customFormat="false" ht="15" hidden="false" customHeight="false" outlineLevel="0" collapsed="false">
      <c r="A74" s="20" t="s">
        <v>62</v>
      </c>
      <c r="B74" s="20" t="s">
        <v>63</v>
      </c>
      <c r="C74" s="20" t="s">
        <v>27</v>
      </c>
      <c r="D74" s="32" t="s">
        <v>121</v>
      </c>
      <c r="E74" s="21" t="n">
        <v>4985.32</v>
      </c>
      <c r="F74" s="22" t="n">
        <v>72.8</v>
      </c>
      <c r="G74" s="21" t="n">
        <v>-558.89</v>
      </c>
      <c r="H74" s="22" t="n">
        <v>-11.2</v>
      </c>
      <c r="I74" s="23" t="n">
        <v>169</v>
      </c>
      <c r="J74" s="22" t="n">
        <v>7.8</v>
      </c>
      <c r="K74" s="33" t="s">
        <v>28</v>
      </c>
    </row>
    <row r="75" customFormat="false" ht="15" hidden="false" customHeight="false" outlineLevel="0" collapsed="false">
      <c r="A75" s="6" t="s">
        <v>210</v>
      </c>
      <c r="B75" s="6" t="s">
        <v>211</v>
      </c>
      <c r="C75" s="6" t="s">
        <v>31</v>
      </c>
      <c r="D75" s="30" t="s">
        <v>121</v>
      </c>
      <c r="E75" s="16" t="n">
        <v>4985.31</v>
      </c>
      <c r="F75" s="17" t="n">
        <v>73.3</v>
      </c>
      <c r="G75" s="16" t="n">
        <v>1384.36</v>
      </c>
      <c r="H75" s="17" t="n">
        <v>27.8</v>
      </c>
      <c r="I75" s="18" t="n">
        <v>171</v>
      </c>
      <c r="J75" s="17" t="n">
        <v>3</v>
      </c>
      <c r="K75" s="25" t="s">
        <v>30</v>
      </c>
    </row>
    <row r="76" customFormat="false" ht="15" hidden="false" customHeight="false" outlineLevel="0" collapsed="false">
      <c r="A76" s="20" t="s">
        <v>212</v>
      </c>
      <c r="B76" s="20" t="s">
        <v>213</v>
      </c>
      <c r="C76" s="20" t="s">
        <v>34</v>
      </c>
      <c r="D76" s="32" t="s">
        <v>121</v>
      </c>
      <c r="E76" s="21" t="n">
        <v>4907.96</v>
      </c>
      <c r="F76" s="22" t="n">
        <v>73.8</v>
      </c>
      <c r="G76" s="21" t="n">
        <v>1002.09</v>
      </c>
      <c r="H76" s="22" t="n">
        <v>20.4</v>
      </c>
      <c r="I76" s="23" t="n">
        <v>135</v>
      </c>
      <c r="J76" s="22" t="n">
        <v>3</v>
      </c>
      <c r="K76" s="24" t="s">
        <v>30</v>
      </c>
    </row>
    <row r="77" customFormat="false" ht="15" hidden="false" customHeight="false" outlineLevel="0" collapsed="false">
      <c r="A77" s="6" t="s">
        <v>83</v>
      </c>
      <c r="B77" s="6" t="s">
        <v>84</v>
      </c>
      <c r="C77" s="6" t="s">
        <v>27</v>
      </c>
      <c r="D77" s="30" t="s">
        <v>121</v>
      </c>
      <c r="E77" s="16" t="n">
        <v>4901.21</v>
      </c>
      <c r="F77" s="17" t="n">
        <v>74.3</v>
      </c>
      <c r="G77" s="16" t="n">
        <v>-372.49</v>
      </c>
      <c r="H77" s="17" t="n">
        <v>-7.6</v>
      </c>
      <c r="I77" s="18" t="n">
        <v>135</v>
      </c>
      <c r="J77" s="17" t="n">
        <v>7.3</v>
      </c>
      <c r="K77" s="19" t="s">
        <v>28</v>
      </c>
    </row>
    <row r="78" customFormat="false" ht="15" hidden="false" customHeight="false" outlineLevel="0" collapsed="false">
      <c r="A78" s="20" t="s">
        <v>100</v>
      </c>
      <c r="B78" s="20" t="s">
        <v>67</v>
      </c>
      <c r="C78" s="20" t="s">
        <v>27</v>
      </c>
      <c r="D78" s="32" t="s">
        <v>121</v>
      </c>
      <c r="E78" s="21" t="n">
        <v>4900.29</v>
      </c>
      <c r="F78" s="22" t="n">
        <v>74.8</v>
      </c>
      <c r="G78" s="21" t="n">
        <v>-254</v>
      </c>
      <c r="H78" s="22" t="n">
        <v>-5.2</v>
      </c>
      <c r="I78" s="23" t="n">
        <v>132</v>
      </c>
      <c r="J78" s="22" t="n">
        <v>7.3</v>
      </c>
      <c r="K78" s="33" t="s">
        <v>28</v>
      </c>
    </row>
    <row r="79" customFormat="false" ht="15" hidden="false" customHeight="false" outlineLevel="0" collapsed="false">
      <c r="A79" s="6" t="s">
        <v>91</v>
      </c>
      <c r="B79" s="6" t="s">
        <v>92</v>
      </c>
      <c r="C79" s="6" t="s">
        <v>27</v>
      </c>
      <c r="D79" s="30" t="s">
        <v>121</v>
      </c>
      <c r="E79" s="16" t="n">
        <v>4748.23</v>
      </c>
      <c r="F79" s="17" t="n">
        <v>75.3</v>
      </c>
      <c r="G79" s="16" t="n">
        <v>-293.01</v>
      </c>
      <c r="H79" s="17" t="n">
        <v>-6.2</v>
      </c>
      <c r="I79" s="18" t="n">
        <v>156</v>
      </c>
      <c r="J79" s="17" t="n">
        <v>6.9</v>
      </c>
      <c r="K79" s="19" t="s">
        <v>28</v>
      </c>
    </row>
    <row r="80" customFormat="false" ht="15" hidden="false" customHeight="false" outlineLevel="0" collapsed="false">
      <c r="A80" s="20" t="s">
        <v>214</v>
      </c>
      <c r="B80" s="20" t="s">
        <v>215</v>
      </c>
      <c r="C80" s="20" t="s">
        <v>31</v>
      </c>
      <c r="D80" s="32" t="s">
        <v>121</v>
      </c>
      <c r="E80" s="21" t="n">
        <v>4707.01</v>
      </c>
      <c r="F80" s="22" t="n">
        <v>75.8</v>
      </c>
      <c r="G80" s="21" t="n">
        <v>1455.34</v>
      </c>
      <c r="H80" s="22" t="n">
        <v>30.9</v>
      </c>
      <c r="I80" s="23" t="n">
        <v>99</v>
      </c>
      <c r="J80" s="22" t="n">
        <v>2.7</v>
      </c>
      <c r="K80" s="24" t="s">
        <v>30</v>
      </c>
    </row>
    <row r="81" customFormat="false" ht="15" hidden="false" customHeight="false" outlineLevel="0" collapsed="false">
      <c r="A81" s="6" t="s">
        <v>216</v>
      </c>
      <c r="B81" s="6" t="s">
        <v>217</v>
      </c>
      <c r="C81" s="6" t="s">
        <v>34</v>
      </c>
      <c r="D81" s="30" t="s">
        <v>121</v>
      </c>
      <c r="E81" s="16" t="n">
        <v>4656.39</v>
      </c>
      <c r="F81" s="17" t="n">
        <v>76.2</v>
      </c>
      <c r="G81" s="16" t="n">
        <v>921.91</v>
      </c>
      <c r="H81" s="17" t="n">
        <v>19.8</v>
      </c>
      <c r="I81" s="18" t="n">
        <v>168</v>
      </c>
      <c r="J81" s="17" t="n">
        <v>3.4</v>
      </c>
      <c r="K81" s="31" t="s">
        <v>33</v>
      </c>
    </row>
    <row r="82" customFormat="false" ht="15" hidden="false" customHeight="false" outlineLevel="0" collapsed="false">
      <c r="A82" s="20" t="s">
        <v>66</v>
      </c>
      <c r="B82" s="20" t="s">
        <v>67</v>
      </c>
      <c r="C82" s="20" t="s">
        <v>27</v>
      </c>
      <c r="D82" s="32" t="s">
        <v>121</v>
      </c>
      <c r="E82" s="21" t="n">
        <v>4637.51</v>
      </c>
      <c r="F82" s="22" t="n">
        <v>76.7</v>
      </c>
      <c r="G82" s="21" t="n">
        <v>-531.54</v>
      </c>
      <c r="H82" s="22" t="n">
        <v>-11.5</v>
      </c>
      <c r="I82" s="23" t="n">
        <v>241</v>
      </c>
      <c r="J82" s="22" t="n">
        <v>7.2</v>
      </c>
      <c r="K82" s="33" t="s">
        <v>28</v>
      </c>
    </row>
    <row r="83" customFormat="false" ht="15" hidden="false" customHeight="false" outlineLevel="0" collapsed="false">
      <c r="A83" s="6" t="s">
        <v>218</v>
      </c>
      <c r="B83" s="6" t="s">
        <v>219</v>
      </c>
      <c r="C83" s="6" t="s">
        <v>34</v>
      </c>
      <c r="D83" s="30" t="s">
        <v>121</v>
      </c>
      <c r="E83" s="16" t="n">
        <v>4600.12</v>
      </c>
      <c r="F83" s="17" t="n">
        <v>77.2</v>
      </c>
      <c r="G83" s="16" t="n">
        <v>879.09</v>
      </c>
      <c r="H83" s="17" t="n">
        <v>19.1</v>
      </c>
      <c r="I83" s="18" t="n">
        <v>197</v>
      </c>
      <c r="J83" s="17" t="n">
        <v>3.2</v>
      </c>
      <c r="K83" s="31" t="s">
        <v>33</v>
      </c>
    </row>
    <row r="84" customFormat="false" ht="15" hidden="false" customHeight="false" outlineLevel="0" collapsed="false">
      <c r="A84" s="20" t="s">
        <v>64</v>
      </c>
      <c r="B84" s="20" t="s">
        <v>65</v>
      </c>
      <c r="C84" s="20" t="s">
        <v>27</v>
      </c>
      <c r="D84" s="32" t="s">
        <v>121</v>
      </c>
      <c r="E84" s="21" t="n">
        <v>4584.32</v>
      </c>
      <c r="F84" s="22" t="n">
        <v>77.7</v>
      </c>
      <c r="G84" s="21" t="n">
        <v>-541.13</v>
      </c>
      <c r="H84" s="22" t="n">
        <v>-11.8</v>
      </c>
      <c r="I84" s="23" t="n">
        <v>382</v>
      </c>
      <c r="J84" s="22" t="n">
        <v>7.5</v>
      </c>
      <c r="K84" s="33" t="s">
        <v>28</v>
      </c>
    </row>
    <row r="85" customFormat="false" ht="15" hidden="false" customHeight="false" outlineLevel="0" collapsed="false">
      <c r="A85" s="6" t="s">
        <v>220</v>
      </c>
      <c r="B85" s="6" t="s">
        <v>221</v>
      </c>
      <c r="C85" s="6" t="s">
        <v>31</v>
      </c>
      <c r="D85" s="30" t="s">
        <v>121</v>
      </c>
      <c r="E85" s="16" t="n">
        <v>4527.01</v>
      </c>
      <c r="F85" s="17" t="n">
        <v>78.1</v>
      </c>
      <c r="G85" s="16" t="n">
        <v>1230.05</v>
      </c>
      <c r="H85" s="17" t="n">
        <v>27.2</v>
      </c>
      <c r="I85" s="18" t="n">
        <v>136</v>
      </c>
      <c r="J85" s="17" t="n">
        <v>2.8</v>
      </c>
      <c r="K85" s="25" t="s">
        <v>30</v>
      </c>
    </row>
    <row r="86" customFormat="false" ht="15" hidden="false" customHeight="false" outlineLevel="0" collapsed="false">
      <c r="A86" s="20" t="s">
        <v>76</v>
      </c>
      <c r="B86" s="20" t="s">
        <v>77</v>
      </c>
      <c r="C86" s="20" t="s">
        <v>27</v>
      </c>
      <c r="D86" s="32" t="s">
        <v>121</v>
      </c>
      <c r="E86" s="21" t="n">
        <v>4490.4</v>
      </c>
      <c r="F86" s="22" t="n">
        <v>78.6</v>
      </c>
      <c r="G86" s="21" t="n">
        <v>-430.45</v>
      </c>
      <c r="H86" s="22" t="n">
        <v>-9.6</v>
      </c>
      <c r="I86" s="23" t="n">
        <v>235</v>
      </c>
      <c r="J86" s="22" t="n">
        <v>8.1</v>
      </c>
      <c r="K86" s="33" t="s">
        <v>28</v>
      </c>
    </row>
    <row r="87" customFormat="false" ht="15" hidden="false" customHeight="false" outlineLevel="0" collapsed="false">
      <c r="A87" s="6" t="s">
        <v>98</v>
      </c>
      <c r="B87" s="6" t="s">
        <v>99</v>
      </c>
      <c r="C87" s="6" t="s">
        <v>27</v>
      </c>
      <c r="D87" s="30" t="s">
        <v>121</v>
      </c>
      <c r="E87" s="16" t="n">
        <v>4485.88</v>
      </c>
      <c r="F87" s="17" t="n">
        <v>79</v>
      </c>
      <c r="G87" s="16" t="n">
        <v>-263.03</v>
      </c>
      <c r="H87" s="17" t="n">
        <v>-5.9</v>
      </c>
      <c r="I87" s="18" t="n">
        <v>129</v>
      </c>
      <c r="J87" s="17" t="n">
        <v>6.7</v>
      </c>
      <c r="K87" s="19" t="s">
        <v>28</v>
      </c>
    </row>
    <row r="88" customFormat="false" ht="15" hidden="false" customHeight="false" outlineLevel="0" collapsed="false">
      <c r="A88" s="20" t="s">
        <v>105</v>
      </c>
      <c r="B88" s="20" t="s">
        <v>84</v>
      </c>
      <c r="C88" s="20" t="s">
        <v>27</v>
      </c>
      <c r="D88" s="32" t="s">
        <v>121</v>
      </c>
      <c r="E88" s="21" t="n">
        <v>4444.24</v>
      </c>
      <c r="F88" s="22" t="n">
        <v>79.5</v>
      </c>
      <c r="G88" s="21" t="n">
        <v>-229.77</v>
      </c>
      <c r="H88" s="22" t="n">
        <v>-5.2</v>
      </c>
      <c r="I88" s="23" t="n">
        <v>196</v>
      </c>
      <c r="J88" s="22" t="n">
        <v>6.8</v>
      </c>
      <c r="K88" s="33" t="s">
        <v>28</v>
      </c>
    </row>
    <row r="89" customFormat="false" ht="15" hidden="false" customHeight="false" outlineLevel="0" collapsed="false">
      <c r="A89" s="6" t="s">
        <v>222</v>
      </c>
      <c r="B89" s="6" t="s">
        <v>223</v>
      </c>
      <c r="C89" s="6" t="s">
        <v>34</v>
      </c>
      <c r="D89" s="30" t="s">
        <v>121</v>
      </c>
      <c r="E89" s="16" t="n">
        <v>4415.01</v>
      </c>
      <c r="F89" s="17" t="n">
        <v>80</v>
      </c>
      <c r="G89" s="16" t="n">
        <v>836.99</v>
      </c>
      <c r="H89" s="17" t="n">
        <v>19</v>
      </c>
      <c r="I89" s="18" t="n">
        <v>109</v>
      </c>
      <c r="J89" s="17" t="n">
        <v>2.8</v>
      </c>
      <c r="K89" s="31" t="s">
        <v>33</v>
      </c>
    </row>
    <row r="90" customFormat="false" ht="15" hidden="false" customHeight="false" outlineLevel="0" collapsed="false">
      <c r="A90" s="20" t="s">
        <v>95</v>
      </c>
      <c r="B90" s="20" t="s">
        <v>47</v>
      </c>
      <c r="C90" s="20" t="s">
        <v>27</v>
      </c>
      <c r="D90" s="32" t="s">
        <v>224</v>
      </c>
      <c r="E90" s="21" t="n">
        <v>4410.53</v>
      </c>
      <c r="F90" s="22" t="n">
        <v>80.4</v>
      </c>
      <c r="G90" s="21" t="n">
        <v>-271.09</v>
      </c>
      <c r="H90" s="22" t="n">
        <v>-6.1</v>
      </c>
      <c r="I90" s="23" t="n">
        <v>250</v>
      </c>
      <c r="J90" s="22" t="n">
        <v>6.8</v>
      </c>
      <c r="K90" s="33" t="s">
        <v>28</v>
      </c>
    </row>
    <row r="91" customFormat="false" ht="15" hidden="false" customHeight="false" outlineLevel="0" collapsed="false">
      <c r="A91" s="6" t="s">
        <v>225</v>
      </c>
      <c r="B91" s="6" t="s">
        <v>226</v>
      </c>
      <c r="C91" s="6" t="s">
        <v>34</v>
      </c>
      <c r="D91" s="30" t="s">
        <v>224</v>
      </c>
      <c r="E91" s="16" t="n">
        <v>4373.5</v>
      </c>
      <c r="F91" s="17" t="n">
        <v>80.9</v>
      </c>
      <c r="G91" s="16" t="n">
        <v>858.38</v>
      </c>
      <c r="H91" s="17" t="n">
        <v>19.6</v>
      </c>
      <c r="I91" s="18" t="n">
        <v>134</v>
      </c>
      <c r="J91" s="17" t="n">
        <v>4.1</v>
      </c>
      <c r="K91" s="31" t="s">
        <v>33</v>
      </c>
    </row>
    <row r="92" customFormat="false" ht="15" hidden="false" customHeight="false" outlineLevel="0" collapsed="false">
      <c r="A92" s="20" t="s">
        <v>227</v>
      </c>
      <c r="B92" s="20" t="s">
        <v>228</v>
      </c>
      <c r="C92" s="20" t="s">
        <v>32</v>
      </c>
      <c r="D92" s="32" t="s">
        <v>224</v>
      </c>
      <c r="E92" s="21" t="n">
        <v>4248.85</v>
      </c>
      <c r="F92" s="22" t="n">
        <v>81.3</v>
      </c>
      <c r="G92" s="21" t="n">
        <v>526.13</v>
      </c>
      <c r="H92" s="22" t="n">
        <v>12.4</v>
      </c>
      <c r="I92" s="23" t="n">
        <v>147</v>
      </c>
      <c r="J92" s="22" t="n">
        <v>4</v>
      </c>
      <c r="K92" s="26" t="s">
        <v>33</v>
      </c>
    </row>
    <row r="93" customFormat="false" ht="15" hidden="false" customHeight="false" outlineLevel="0" collapsed="false">
      <c r="A93" s="6" t="s">
        <v>229</v>
      </c>
      <c r="B93" s="6" t="s">
        <v>230</v>
      </c>
      <c r="C93" s="6" t="s">
        <v>29</v>
      </c>
      <c r="D93" s="30" t="s">
        <v>224</v>
      </c>
      <c r="E93" s="16" t="n">
        <v>4229.62</v>
      </c>
      <c r="F93" s="17" t="n">
        <v>81.7</v>
      </c>
      <c r="G93" s="16" t="n">
        <v>1060.79</v>
      </c>
      <c r="H93" s="17" t="n">
        <v>25.1</v>
      </c>
      <c r="I93" s="18" t="n">
        <v>138</v>
      </c>
      <c r="J93" s="17" t="n">
        <v>1.6</v>
      </c>
      <c r="K93" s="25" t="s">
        <v>30</v>
      </c>
    </row>
    <row r="94" customFormat="false" ht="15" hidden="false" customHeight="false" outlineLevel="0" collapsed="false">
      <c r="A94" s="20" t="s">
        <v>231</v>
      </c>
      <c r="B94" s="20" t="s">
        <v>232</v>
      </c>
      <c r="C94" s="20" t="s">
        <v>29</v>
      </c>
      <c r="D94" s="32" t="s">
        <v>224</v>
      </c>
      <c r="E94" s="21" t="n">
        <v>4189.98</v>
      </c>
      <c r="F94" s="22" t="n">
        <v>82.2</v>
      </c>
      <c r="G94" s="21" t="n">
        <v>1039.79</v>
      </c>
      <c r="H94" s="22" t="n">
        <v>24.8</v>
      </c>
      <c r="I94" s="23" t="n">
        <v>198</v>
      </c>
      <c r="J94" s="22" t="n">
        <v>1.8</v>
      </c>
      <c r="K94" s="24" t="s">
        <v>30</v>
      </c>
    </row>
    <row r="95" customFormat="false" ht="15" hidden="false" customHeight="false" outlineLevel="0" collapsed="false">
      <c r="A95" s="6" t="s">
        <v>233</v>
      </c>
      <c r="B95" s="6" t="s">
        <v>234</v>
      </c>
      <c r="C95" s="6" t="s">
        <v>31</v>
      </c>
      <c r="D95" s="30" t="s">
        <v>224</v>
      </c>
      <c r="E95" s="16" t="n">
        <v>4169.49</v>
      </c>
      <c r="F95" s="17" t="n">
        <v>82.6</v>
      </c>
      <c r="G95" s="16" t="n">
        <v>1160.15</v>
      </c>
      <c r="H95" s="17" t="n">
        <v>27.8</v>
      </c>
      <c r="I95" s="18" t="n">
        <v>127</v>
      </c>
      <c r="J95" s="17" t="n">
        <v>2.4</v>
      </c>
      <c r="K95" s="25" t="s">
        <v>30</v>
      </c>
    </row>
    <row r="96" customFormat="false" ht="15" hidden="false" customHeight="false" outlineLevel="0" collapsed="false">
      <c r="A96" s="20" t="s">
        <v>235</v>
      </c>
      <c r="B96" s="20" t="s">
        <v>176</v>
      </c>
      <c r="C96" s="20" t="s">
        <v>31</v>
      </c>
      <c r="D96" s="32" t="s">
        <v>224</v>
      </c>
      <c r="E96" s="21" t="n">
        <v>4108.03</v>
      </c>
      <c r="F96" s="22" t="n">
        <v>83</v>
      </c>
      <c r="G96" s="21" t="n">
        <v>1130.7</v>
      </c>
      <c r="H96" s="22" t="n">
        <v>27.5</v>
      </c>
      <c r="I96" s="23" t="n">
        <v>197</v>
      </c>
      <c r="J96" s="22" t="n">
        <v>2.4</v>
      </c>
      <c r="K96" s="24" t="s">
        <v>30</v>
      </c>
    </row>
    <row r="97" customFormat="false" ht="15" hidden="false" customHeight="false" outlineLevel="0" collapsed="false">
      <c r="A97" s="6" t="s">
        <v>236</v>
      </c>
      <c r="B97" s="6" t="s">
        <v>237</v>
      </c>
      <c r="C97" s="6" t="s">
        <v>31</v>
      </c>
      <c r="D97" s="30" t="s">
        <v>224</v>
      </c>
      <c r="E97" s="16" t="n">
        <v>3962.99</v>
      </c>
      <c r="F97" s="17" t="n">
        <v>83.4</v>
      </c>
      <c r="G97" s="16" t="n">
        <v>1182.15</v>
      </c>
      <c r="H97" s="17" t="n">
        <v>29.8</v>
      </c>
      <c r="I97" s="18" t="n">
        <v>123</v>
      </c>
      <c r="J97" s="17" t="n">
        <v>3.1</v>
      </c>
      <c r="K97" s="25" t="s">
        <v>30</v>
      </c>
    </row>
    <row r="98" customFormat="false" ht="15" hidden="false" customHeight="false" outlineLevel="0" collapsed="false">
      <c r="A98" s="20" t="s">
        <v>109</v>
      </c>
      <c r="B98" s="20" t="s">
        <v>110</v>
      </c>
      <c r="C98" s="20" t="s">
        <v>27</v>
      </c>
      <c r="D98" s="32" t="s">
        <v>224</v>
      </c>
      <c r="E98" s="21" t="n">
        <v>3960.25</v>
      </c>
      <c r="F98" s="22" t="n">
        <v>83.8</v>
      </c>
      <c r="G98" s="21" t="n">
        <v>-186.49</v>
      </c>
      <c r="H98" s="22" t="n">
        <v>-4.7</v>
      </c>
      <c r="I98" s="23" t="n">
        <v>113</v>
      </c>
      <c r="J98" s="22" t="n">
        <v>5.5</v>
      </c>
      <c r="K98" s="33" t="s">
        <v>28</v>
      </c>
    </row>
    <row r="99" customFormat="false" ht="15" hidden="false" customHeight="false" outlineLevel="0" collapsed="false">
      <c r="A99" s="6" t="s">
        <v>238</v>
      </c>
      <c r="B99" s="6" t="s">
        <v>239</v>
      </c>
      <c r="C99" s="6" t="s">
        <v>32</v>
      </c>
      <c r="D99" s="30" t="s">
        <v>224</v>
      </c>
      <c r="E99" s="16" t="n">
        <v>3953.73</v>
      </c>
      <c r="F99" s="17" t="n">
        <v>84.2</v>
      </c>
      <c r="G99" s="16" t="n">
        <v>382.62</v>
      </c>
      <c r="H99" s="17" t="n">
        <v>9.7</v>
      </c>
      <c r="I99" s="18" t="n">
        <v>158</v>
      </c>
      <c r="J99" s="17" t="n">
        <v>4.3</v>
      </c>
      <c r="K99" s="19" t="s">
        <v>240</v>
      </c>
    </row>
    <row r="100" customFormat="false" ht="15" hidden="false" customHeight="false" outlineLevel="0" collapsed="false">
      <c r="A100" s="20" t="s">
        <v>241</v>
      </c>
      <c r="B100" s="20" t="s">
        <v>150</v>
      </c>
      <c r="C100" s="20" t="s">
        <v>34</v>
      </c>
      <c r="D100" s="32" t="s">
        <v>224</v>
      </c>
      <c r="E100" s="21" t="n">
        <v>3919.19</v>
      </c>
      <c r="F100" s="22" t="n">
        <v>84.6</v>
      </c>
      <c r="G100" s="21" t="n">
        <v>743.38</v>
      </c>
      <c r="H100" s="22" t="n">
        <v>19</v>
      </c>
      <c r="I100" s="23" t="n">
        <v>191</v>
      </c>
      <c r="J100" s="22" t="n">
        <v>2.8</v>
      </c>
      <c r="K100" s="26" t="s">
        <v>33</v>
      </c>
    </row>
    <row r="101" customFormat="false" ht="15" hidden="false" customHeight="false" outlineLevel="0" collapsed="false">
      <c r="A101" s="6" t="s">
        <v>242</v>
      </c>
      <c r="B101" s="6" t="s">
        <v>123</v>
      </c>
      <c r="C101" s="6" t="s">
        <v>32</v>
      </c>
      <c r="D101" s="30" t="s">
        <v>224</v>
      </c>
      <c r="E101" s="16" t="n">
        <v>3793.71</v>
      </c>
      <c r="F101" s="17" t="n">
        <v>85</v>
      </c>
      <c r="G101" s="16" t="n">
        <v>475.7</v>
      </c>
      <c r="H101" s="17" t="n">
        <v>12.5</v>
      </c>
      <c r="I101" s="18" t="n">
        <v>135</v>
      </c>
      <c r="J101" s="17" t="n">
        <v>3.4</v>
      </c>
      <c r="K101" s="31" t="s">
        <v>33</v>
      </c>
    </row>
    <row r="102" customFormat="false" ht="15" hidden="false" customHeight="false" outlineLevel="0" collapsed="false">
      <c r="A102" s="20" t="s">
        <v>243</v>
      </c>
      <c r="B102" s="20" t="s">
        <v>244</v>
      </c>
      <c r="C102" s="20" t="s">
        <v>31</v>
      </c>
      <c r="D102" s="32" t="s">
        <v>224</v>
      </c>
      <c r="E102" s="21" t="n">
        <v>3711.47</v>
      </c>
      <c r="F102" s="22" t="n">
        <v>85.4</v>
      </c>
      <c r="G102" s="21" t="n">
        <v>937.13</v>
      </c>
      <c r="H102" s="22" t="n">
        <v>25.2</v>
      </c>
      <c r="I102" s="23" t="n">
        <v>157</v>
      </c>
      <c r="J102" s="22" t="n">
        <v>2.4</v>
      </c>
      <c r="K102" s="24" t="s">
        <v>30</v>
      </c>
    </row>
    <row r="103" customFormat="false" ht="15" hidden="false" customHeight="false" outlineLevel="0" collapsed="false">
      <c r="A103" s="6" t="s">
        <v>80</v>
      </c>
      <c r="B103" s="6" t="s">
        <v>55</v>
      </c>
      <c r="C103" s="6" t="s">
        <v>27</v>
      </c>
      <c r="D103" s="30" t="s">
        <v>224</v>
      </c>
      <c r="E103" s="16" t="n">
        <v>3586.65</v>
      </c>
      <c r="F103" s="17" t="n">
        <v>85.8</v>
      </c>
      <c r="G103" s="16" t="n">
        <v>-392.2</v>
      </c>
      <c r="H103" s="17" t="n">
        <v>-10.9</v>
      </c>
      <c r="I103" s="18" t="n">
        <v>286</v>
      </c>
      <c r="J103" s="17" t="n">
        <v>6.8</v>
      </c>
      <c r="K103" s="19" t="s">
        <v>28</v>
      </c>
    </row>
    <row r="104" customFormat="false" ht="15" hidden="false" customHeight="false" outlineLevel="0" collapsed="false">
      <c r="A104" s="20" t="s">
        <v>245</v>
      </c>
      <c r="B104" s="20" t="s">
        <v>246</v>
      </c>
      <c r="C104" s="20" t="s">
        <v>31</v>
      </c>
      <c r="D104" s="32" t="s">
        <v>224</v>
      </c>
      <c r="E104" s="21" t="n">
        <v>3568.72</v>
      </c>
      <c r="F104" s="22" t="n">
        <v>86.1</v>
      </c>
      <c r="G104" s="21" t="n">
        <v>940.87</v>
      </c>
      <c r="H104" s="22" t="n">
        <v>26.4</v>
      </c>
      <c r="I104" s="23" t="n">
        <v>76</v>
      </c>
      <c r="J104" s="22" t="n">
        <v>3</v>
      </c>
      <c r="K104" s="24" t="s">
        <v>30</v>
      </c>
    </row>
    <row r="105" customFormat="false" ht="15" hidden="false" customHeight="false" outlineLevel="0" collapsed="false">
      <c r="A105" s="6" t="s">
        <v>247</v>
      </c>
      <c r="B105" s="6" t="s">
        <v>248</v>
      </c>
      <c r="C105" s="6" t="s">
        <v>29</v>
      </c>
      <c r="D105" s="30" t="s">
        <v>224</v>
      </c>
      <c r="E105" s="16" t="n">
        <v>3551.73</v>
      </c>
      <c r="F105" s="17" t="n">
        <v>86.5</v>
      </c>
      <c r="G105" s="16" t="n">
        <v>885.15</v>
      </c>
      <c r="H105" s="17" t="n">
        <v>24.9</v>
      </c>
      <c r="I105" s="18" t="n">
        <v>110</v>
      </c>
      <c r="J105" s="17" t="n">
        <v>2.2</v>
      </c>
      <c r="K105" s="25" t="s">
        <v>30</v>
      </c>
    </row>
    <row r="106" customFormat="false" ht="15" hidden="false" customHeight="false" outlineLevel="0" collapsed="false">
      <c r="A106" s="20" t="s">
        <v>93</v>
      </c>
      <c r="B106" s="20" t="s">
        <v>94</v>
      </c>
      <c r="C106" s="20" t="s">
        <v>27</v>
      </c>
      <c r="D106" s="32" t="s">
        <v>224</v>
      </c>
      <c r="E106" s="21" t="n">
        <v>3505.07</v>
      </c>
      <c r="F106" s="22" t="n">
        <v>86.9</v>
      </c>
      <c r="G106" s="21" t="n">
        <v>-278.83</v>
      </c>
      <c r="H106" s="22" t="n">
        <v>-8</v>
      </c>
      <c r="I106" s="23" t="n">
        <v>191</v>
      </c>
      <c r="J106" s="22" t="n">
        <v>6.5</v>
      </c>
      <c r="K106" s="33" t="s">
        <v>28</v>
      </c>
    </row>
    <row r="107" customFormat="false" ht="15" hidden="false" customHeight="false" outlineLevel="0" collapsed="false">
      <c r="A107" s="6" t="s">
        <v>249</v>
      </c>
      <c r="B107" s="6" t="s">
        <v>250</v>
      </c>
      <c r="C107" s="6" t="s">
        <v>31</v>
      </c>
      <c r="D107" s="30" t="s">
        <v>224</v>
      </c>
      <c r="E107" s="16" t="n">
        <v>3456.44</v>
      </c>
      <c r="F107" s="17" t="n">
        <v>87.2</v>
      </c>
      <c r="G107" s="16" t="n">
        <v>980.31</v>
      </c>
      <c r="H107" s="17" t="n">
        <v>28.4</v>
      </c>
      <c r="I107" s="18" t="n">
        <v>100</v>
      </c>
      <c r="J107" s="17" t="n">
        <v>2.6</v>
      </c>
      <c r="K107" s="25" t="s">
        <v>30</v>
      </c>
    </row>
    <row r="108" customFormat="false" ht="15" hidden="false" customHeight="false" outlineLevel="0" collapsed="false">
      <c r="A108" s="20" t="s">
        <v>87</v>
      </c>
      <c r="B108" s="20" t="s">
        <v>88</v>
      </c>
      <c r="C108" s="20" t="s">
        <v>27</v>
      </c>
      <c r="D108" s="32" t="s">
        <v>224</v>
      </c>
      <c r="E108" s="21" t="n">
        <v>3453.16</v>
      </c>
      <c r="F108" s="22" t="n">
        <v>87.6</v>
      </c>
      <c r="G108" s="21" t="n">
        <v>-353.08</v>
      </c>
      <c r="H108" s="22" t="n">
        <v>-10.2</v>
      </c>
      <c r="I108" s="23" t="n">
        <v>237</v>
      </c>
      <c r="J108" s="22" t="n">
        <v>7.9</v>
      </c>
      <c r="K108" s="33" t="s">
        <v>28</v>
      </c>
    </row>
    <row r="109" customFormat="false" ht="15" hidden="false" customHeight="false" outlineLevel="0" collapsed="false">
      <c r="A109" s="6" t="s">
        <v>251</v>
      </c>
      <c r="B109" s="6" t="s">
        <v>252</v>
      </c>
      <c r="C109" s="6" t="s">
        <v>29</v>
      </c>
      <c r="D109" s="30" t="s">
        <v>224</v>
      </c>
      <c r="E109" s="16" t="n">
        <v>3404.22</v>
      </c>
      <c r="F109" s="17" t="n">
        <v>87.9</v>
      </c>
      <c r="G109" s="16" t="n">
        <v>915.18</v>
      </c>
      <c r="H109" s="17" t="n">
        <v>26.9</v>
      </c>
      <c r="I109" s="18" t="n">
        <v>92</v>
      </c>
      <c r="J109" s="17" t="n">
        <v>2.5</v>
      </c>
      <c r="K109" s="25" t="s">
        <v>30</v>
      </c>
    </row>
    <row r="110" customFormat="false" ht="15" hidden="false" customHeight="false" outlineLevel="0" collapsed="false">
      <c r="A110" s="20" t="s">
        <v>108</v>
      </c>
      <c r="B110" s="20" t="s">
        <v>88</v>
      </c>
      <c r="C110" s="20" t="s">
        <v>27</v>
      </c>
      <c r="D110" s="32" t="s">
        <v>224</v>
      </c>
      <c r="E110" s="21" t="n">
        <v>3350.41</v>
      </c>
      <c r="F110" s="22" t="n">
        <v>88.3</v>
      </c>
      <c r="G110" s="21" t="n">
        <v>-200.67</v>
      </c>
      <c r="H110" s="22" t="n">
        <v>-6</v>
      </c>
      <c r="I110" s="23" t="n">
        <v>115</v>
      </c>
      <c r="J110" s="22" t="n">
        <v>6.7</v>
      </c>
      <c r="K110" s="33" t="s">
        <v>28</v>
      </c>
    </row>
    <row r="111" customFormat="false" ht="15" hidden="false" customHeight="false" outlineLevel="0" collapsed="false">
      <c r="A111" s="6" t="s">
        <v>96</v>
      </c>
      <c r="B111" s="6" t="s">
        <v>97</v>
      </c>
      <c r="C111" s="6" t="s">
        <v>27</v>
      </c>
      <c r="D111" s="30" t="s">
        <v>224</v>
      </c>
      <c r="E111" s="16" t="n">
        <v>3297.19</v>
      </c>
      <c r="F111" s="17" t="n">
        <v>88.6</v>
      </c>
      <c r="G111" s="16" t="n">
        <v>-264.35</v>
      </c>
      <c r="H111" s="17" t="n">
        <v>-8</v>
      </c>
      <c r="I111" s="18" t="n">
        <v>160</v>
      </c>
      <c r="J111" s="17" t="n">
        <v>7</v>
      </c>
      <c r="K111" s="19" t="s">
        <v>28</v>
      </c>
    </row>
    <row r="112" customFormat="false" ht="15" hidden="false" customHeight="false" outlineLevel="0" collapsed="false">
      <c r="A112" s="20" t="s">
        <v>253</v>
      </c>
      <c r="B112" s="20" t="s">
        <v>161</v>
      </c>
      <c r="C112" s="20" t="s">
        <v>34</v>
      </c>
      <c r="D112" s="32" t="s">
        <v>224</v>
      </c>
      <c r="E112" s="21" t="n">
        <v>3234.47</v>
      </c>
      <c r="F112" s="22" t="n">
        <v>88.9</v>
      </c>
      <c r="G112" s="21" t="n">
        <v>563.63</v>
      </c>
      <c r="H112" s="22" t="n">
        <v>17.4</v>
      </c>
      <c r="I112" s="23" t="n">
        <v>79</v>
      </c>
      <c r="J112" s="22" t="n">
        <v>3.3</v>
      </c>
      <c r="K112" s="26" t="s">
        <v>33</v>
      </c>
    </row>
    <row r="113" customFormat="false" ht="15" hidden="false" customHeight="false" outlineLevel="0" collapsed="false">
      <c r="A113" s="6" t="s">
        <v>254</v>
      </c>
      <c r="B113" s="6" t="s">
        <v>255</v>
      </c>
      <c r="C113" s="6" t="s">
        <v>31</v>
      </c>
      <c r="D113" s="30" t="s">
        <v>224</v>
      </c>
      <c r="E113" s="16" t="n">
        <v>3233.61</v>
      </c>
      <c r="F113" s="17" t="n">
        <v>89.3</v>
      </c>
      <c r="G113" s="16" t="n">
        <v>966.67</v>
      </c>
      <c r="H113" s="17" t="n">
        <v>29.9</v>
      </c>
      <c r="I113" s="18" t="n">
        <v>72</v>
      </c>
      <c r="J113" s="17" t="n">
        <v>2.1</v>
      </c>
      <c r="K113" s="25" t="s">
        <v>30</v>
      </c>
    </row>
    <row r="114" customFormat="false" ht="15" hidden="false" customHeight="false" outlineLevel="0" collapsed="false">
      <c r="A114" s="20" t="s">
        <v>256</v>
      </c>
      <c r="B114" s="20" t="s">
        <v>257</v>
      </c>
      <c r="C114" s="20" t="s">
        <v>34</v>
      </c>
      <c r="D114" s="32" t="s">
        <v>224</v>
      </c>
      <c r="E114" s="21" t="n">
        <v>3225.96</v>
      </c>
      <c r="F114" s="22" t="n">
        <v>89.6</v>
      </c>
      <c r="G114" s="21" t="n">
        <v>641.33</v>
      </c>
      <c r="H114" s="22" t="n">
        <v>19.9</v>
      </c>
      <c r="I114" s="23" t="n">
        <v>208</v>
      </c>
      <c r="J114" s="22" t="n">
        <v>2.3</v>
      </c>
      <c r="K114" s="26" t="s">
        <v>33</v>
      </c>
    </row>
    <row r="115" customFormat="false" ht="15" hidden="false" customHeight="false" outlineLevel="0" collapsed="false">
      <c r="A115" s="6" t="s">
        <v>106</v>
      </c>
      <c r="B115" s="6" t="s">
        <v>107</v>
      </c>
      <c r="C115" s="6" t="s">
        <v>27</v>
      </c>
      <c r="D115" s="30" t="s">
        <v>224</v>
      </c>
      <c r="E115" s="16" t="n">
        <v>3191.47</v>
      </c>
      <c r="F115" s="17" t="n">
        <v>89.9</v>
      </c>
      <c r="G115" s="16" t="n">
        <v>-227.48</v>
      </c>
      <c r="H115" s="17" t="n">
        <v>-7.1</v>
      </c>
      <c r="I115" s="18" t="n">
        <v>203</v>
      </c>
      <c r="J115" s="17" t="n">
        <v>5.2</v>
      </c>
      <c r="K115" s="19" t="s">
        <v>28</v>
      </c>
    </row>
    <row r="116" customFormat="false" ht="15" hidden="false" customHeight="false" outlineLevel="0" collapsed="false">
      <c r="A116" s="20" t="s">
        <v>258</v>
      </c>
      <c r="B116" s="20" t="s">
        <v>176</v>
      </c>
      <c r="C116" s="20" t="s">
        <v>31</v>
      </c>
      <c r="D116" s="32" t="s">
        <v>224</v>
      </c>
      <c r="E116" s="21" t="n">
        <v>3180.84</v>
      </c>
      <c r="F116" s="22" t="n">
        <v>90.3</v>
      </c>
      <c r="G116" s="21" t="n">
        <v>895.42</v>
      </c>
      <c r="H116" s="22" t="n">
        <v>28.2</v>
      </c>
      <c r="I116" s="23" t="n">
        <v>106</v>
      </c>
      <c r="J116" s="22" t="n">
        <v>2.7</v>
      </c>
      <c r="K116" s="24" t="s">
        <v>30</v>
      </c>
    </row>
    <row r="117" customFormat="false" ht="15" hidden="false" customHeight="false" outlineLevel="0" collapsed="false">
      <c r="A117" s="6" t="s">
        <v>259</v>
      </c>
      <c r="B117" s="6" t="s">
        <v>226</v>
      </c>
      <c r="C117" s="6" t="s">
        <v>34</v>
      </c>
      <c r="D117" s="30" t="s">
        <v>224</v>
      </c>
      <c r="E117" s="16" t="n">
        <v>3059.06</v>
      </c>
      <c r="F117" s="17" t="n">
        <v>90.6</v>
      </c>
      <c r="G117" s="16" t="n">
        <v>525.19</v>
      </c>
      <c r="H117" s="17" t="n">
        <v>17.2</v>
      </c>
      <c r="I117" s="18" t="n">
        <v>110</v>
      </c>
      <c r="J117" s="17" t="n">
        <v>3.5</v>
      </c>
      <c r="K117" s="31" t="s">
        <v>33</v>
      </c>
    </row>
    <row r="118" customFormat="false" ht="15" hidden="false" customHeight="false" outlineLevel="0" collapsed="false">
      <c r="A118" s="20" t="s">
        <v>260</v>
      </c>
      <c r="B118" s="20" t="s">
        <v>261</v>
      </c>
      <c r="C118" s="20" t="s">
        <v>31</v>
      </c>
      <c r="D118" s="32" t="s">
        <v>224</v>
      </c>
      <c r="E118" s="21" t="n">
        <v>3012.71</v>
      </c>
      <c r="F118" s="22" t="n">
        <v>90.9</v>
      </c>
      <c r="G118" s="21" t="n">
        <v>853.53</v>
      </c>
      <c r="H118" s="22" t="n">
        <v>28.3</v>
      </c>
      <c r="I118" s="23" t="n">
        <v>60</v>
      </c>
      <c r="J118" s="22" t="n">
        <v>2.5</v>
      </c>
      <c r="K118" s="24" t="s">
        <v>30</v>
      </c>
    </row>
    <row r="119" customFormat="false" ht="15" hidden="false" customHeight="false" outlineLevel="0" collapsed="false">
      <c r="A119" s="6" t="s">
        <v>262</v>
      </c>
      <c r="B119" s="6" t="s">
        <v>263</v>
      </c>
      <c r="C119" s="6" t="s">
        <v>29</v>
      </c>
      <c r="D119" s="30" t="s">
        <v>224</v>
      </c>
      <c r="E119" s="16" t="n">
        <v>2973.36</v>
      </c>
      <c r="F119" s="17" t="n">
        <v>91.2</v>
      </c>
      <c r="G119" s="16" t="n">
        <v>684.35</v>
      </c>
      <c r="H119" s="17" t="n">
        <v>23</v>
      </c>
      <c r="I119" s="18" t="n">
        <v>94</v>
      </c>
      <c r="J119" s="17" t="n">
        <v>2.1</v>
      </c>
      <c r="K119" s="25" t="s">
        <v>30</v>
      </c>
    </row>
    <row r="120" customFormat="false" ht="15" hidden="false" customHeight="false" outlineLevel="0" collapsed="false">
      <c r="A120" s="20" t="s">
        <v>264</v>
      </c>
      <c r="B120" s="20" t="s">
        <v>265</v>
      </c>
      <c r="C120" s="20" t="s">
        <v>31</v>
      </c>
      <c r="D120" s="32" t="s">
        <v>224</v>
      </c>
      <c r="E120" s="21" t="n">
        <v>2959.75</v>
      </c>
      <c r="F120" s="22" t="n">
        <v>91.5</v>
      </c>
      <c r="G120" s="21" t="n">
        <v>864.67</v>
      </c>
      <c r="H120" s="22" t="n">
        <v>29.2</v>
      </c>
      <c r="I120" s="23" t="n">
        <v>69</v>
      </c>
      <c r="J120" s="22" t="n">
        <v>2.2</v>
      </c>
      <c r="K120" s="24" t="s">
        <v>30</v>
      </c>
    </row>
    <row r="121" customFormat="false" ht="15" hidden="false" customHeight="false" outlineLevel="0" collapsed="false">
      <c r="A121" s="6" t="s">
        <v>266</v>
      </c>
      <c r="B121" s="6" t="s">
        <v>267</v>
      </c>
      <c r="C121" s="6" t="s">
        <v>32</v>
      </c>
      <c r="D121" s="30" t="s">
        <v>224</v>
      </c>
      <c r="E121" s="16" t="n">
        <v>2927.24</v>
      </c>
      <c r="F121" s="17" t="n">
        <v>91.8</v>
      </c>
      <c r="G121" s="16" t="n">
        <v>235.36</v>
      </c>
      <c r="H121" s="17" t="n">
        <v>8</v>
      </c>
      <c r="I121" s="18" t="n">
        <v>86</v>
      </c>
      <c r="J121" s="17" t="n">
        <v>4</v>
      </c>
      <c r="K121" s="19" t="s">
        <v>240</v>
      </c>
    </row>
    <row r="122" customFormat="false" ht="15" hidden="false" customHeight="false" outlineLevel="0" collapsed="false">
      <c r="A122" s="20" t="s">
        <v>268</v>
      </c>
      <c r="B122" s="20" t="s">
        <v>269</v>
      </c>
      <c r="C122" s="20" t="s">
        <v>31</v>
      </c>
      <c r="D122" s="32" t="s">
        <v>224</v>
      </c>
      <c r="E122" s="21" t="n">
        <v>2923.94</v>
      </c>
      <c r="F122" s="22" t="n">
        <v>92.1</v>
      </c>
      <c r="G122" s="21" t="n">
        <v>796.89</v>
      </c>
      <c r="H122" s="22" t="n">
        <v>27.3</v>
      </c>
      <c r="I122" s="23" t="n">
        <v>117</v>
      </c>
      <c r="J122" s="22" t="n">
        <v>2.4</v>
      </c>
      <c r="K122" s="24" t="s">
        <v>30</v>
      </c>
    </row>
    <row r="123" customFormat="false" ht="15" hidden="false" customHeight="false" outlineLevel="0" collapsed="false">
      <c r="A123" s="6" t="s">
        <v>270</v>
      </c>
      <c r="B123" s="6" t="s">
        <v>237</v>
      </c>
      <c r="C123" s="6" t="s">
        <v>31</v>
      </c>
      <c r="D123" s="30" t="s">
        <v>224</v>
      </c>
      <c r="E123" s="16" t="n">
        <v>2865.78</v>
      </c>
      <c r="F123" s="17" t="n">
        <v>92.4</v>
      </c>
      <c r="G123" s="16" t="n">
        <v>756.07</v>
      </c>
      <c r="H123" s="17" t="n">
        <v>26.4</v>
      </c>
      <c r="I123" s="18" t="n">
        <v>89</v>
      </c>
      <c r="J123" s="17" t="n">
        <v>3.5</v>
      </c>
      <c r="K123" s="25" t="s">
        <v>30</v>
      </c>
    </row>
    <row r="124" customFormat="false" ht="15" hidden="false" customHeight="false" outlineLevel="0" collapsed="false">
      <c r="A124" s="20" t="s">
        <v>271</v>
      </c>
      <c r="B124" s="20" t="s">
        <v>272</v>
      </c>
      <c r="C124" s="20" t="s">
        <v>34</v>
      </c>
      <c r="D124" s="32" t="s">
        <v>224</v>
      </c>
      <c r="E124" s="21" t="n">
        <v>2857.09</v>
      </c>
      <c r="F124" s="22" t="n">
        <v>92.7</v>
      </c>
      <c r="G124" s="21" t="n">
        <v>466.26</v>
      </c>
      <c r="H124" s="22" t="n">
        <v>16.3</v>
      </c>
      <c r="I124" s="23" t="n">
        <v>163</v>
      </c>
      <c r="J124" s="22" t="n">
        <v>3.1</v>
      </c>
      <c r="K124" s="26" t="s">
        <v>33</v>
      </c>
    </row>
    <row r="125" customFormat="false" ht="15" hidden="false" customHeight="false" outlineLevel="0" collapsed="false">
      <c r="A125" s="6" t="s">
        <v>273</v>
      </c>
      <c r="B125" s="6" t="s">
        <v>274</v>
      </c>
      <c r="C125" s="6" t="s">
        <v>29</v>
      </c>
      <c r="D125" s="30" t="s">
        <v>224</v>
      </c>
      <c r="E125" s="16" t="n">
        <v>2829.2</v>
      </c>
      <c r="F125" s="17" t="n">
        <v>93</v>
      </c>
      <c r="G125" s="16" t="n">
        <v>720.02</v>
      </c>
      <c r="H125" s="17" t="n">
        <v>25.4</v>
      </c>
      <c r="I125" s="18" t="n">
        <v>89</v>
      </c>
      <c r="J125" s="17" t="n">
        <v>1.8</v>
      </c>
      <c r="K125" s="25" t="s">
        <v>30</v>
      </c>
    </row>
    <row r="126" customFormat="false" ht="15" hidden="false" customHeight="false" outlineLevel="0" collapsed="false">
      <c r="A126" s="20" t="s">
        <v>275</v>
      </c>
      <c r="B126" s="20" t="s">
        <v>276</v>
      </c>
      <c r="C126" s="20" t="s">
        <v>29</v>
      </c>
      <c r="D126" s="32" t="s">
        <v>224</v>
      </c>
      <c r="E126" s="21" t="n">
        <v>2734.9</v>
      </c>
      <c r="F126" s="22" t="n">
        <v>93.3</v>
      </c>
      <c r="G126" s="21" t="n">
        <v>662.89</v>
      </c>
      <c r="H126" s="22" t="n">
        <v>24.2</v>
      </c>
      <c r="I126" s="23" t="n">
        <v>125</v>
      </c>
      <c r="J126" s="22" t="n">
        <v>1.7</v>
      </c>
      <c r="K126" s="24" t="s">
        <v>30</v>
      </c>
    </row>
    <row r="127" customFormat="false" ht="15" hidden="false" customHeight="false" outlineLevel="0" collapsed="false">
      <c r="A127" s="6" t="s">
        <v>89</v>
      </c>
      <c r="B127" s="6" t="s">
        <v>73</v>
      </c>
      <c r="C127" s="6" t="s">
        <v>27</v>
      </c>
      <c r="D127" s="30" t="s">
        <v>224</v>
      </c>
      <c r="E127" s="16" t="n">
        <v>2643.19</v>
      </c>
      <c r="F127" s="17" t="n">
        <v>93.5</v>
      </c>
      <c r="G127" s="16" t="n">
        <v>-351.81</v>
      </c>
      <c r="H127" s="17" t="n">
        <v>-13.3</v>
      </c>
      <c r="I127" s="18" t="n">
        <v>187</v>
      </c>
      <c r="J127" s="17" t="n">
        <v>7.8</v>
      </c>
      <c r="K127" s="19" t="s">
        <v>28</v>
      </c>
    </row>
    <row r="128" customFormat="false" ht="15" hidden="false" customHeight="false" outlineLevel="0" collapsed="false">
      <c r="A128" s="20" t="s">
        <v>277</v>
      </c>
      <c r="B128" s="20" t="s">
        <v>261</v>
      </c>
      <c r="C128" s="20" t="s">
        <v>31</v>
      </c>
      <c r="D128" s="32" t="s">
        <v>224</v>
      </c>
      <c r="E128" s="21" t="n">
        <v>2599.46</v>
      </c>
      <c r="F128" s="22" t="n">
        <v>93.8</v>
      </c>
      <c r="G128" s="21" t="n">
        <v>726.39</v>
      </c>
      <c r="H128" s="22" t="n">
        <v>27.9</v>
      </c>
      <c r="I128" s="23" t="n">
        <v>91</v>
      </c>
      <c r="J128" s="22" t="n">
        <v>2.3</v>
      </c>
      <c r="K128" s="24" t="s">
        <v>30</v>
      </c>
    </row>
    <row r="129" customFormat="false" ht="15" hidden="false" customHeight="false" outlineLevel="0" collapsed="false">
      <c r="A129" s="6" t="s">
        <v>278</v>
      </c>
      <c r="B129" s="6" t="s">
        <v>279</v>
      </c>
      <c r="C129" s="6" t="s">
        <v>29</v>
      </c>
      <c r="D129" s="30" t="s">
        <v>224</v>
      </c>
      <c r="E129" s="16" t="n">
        <v>2556.53</v>
      </c>
      <c r="F129" s="17" t="n">
        <v>94.1</v>
      </c>
      <c r="G129" s="16" t="n">
        <v>633.5</v>
      </c>
      <c r="H129" s="17" t="n">
        <v>24.8</v>
      </c>
      <c r="I129" s="18" t="n">
        <v>115</v>
      </c>
      <c r="J129" s="17" t="n">
        <v>1.9</v>
      </c>
      <c r="K129" s="25" t="s">
        <v>30</v>
      </c>
    </row>
    <row r="130" customFormat="false" ht="15" hidden="false" customHeight="false" outlineLevel="0" collapsed="false">
      <c r="A130" s="20" t="s">
        <v>280</v>
      </c>
      <c r="B130" s="20" t="s">
        <v>281</v>
      </c>
      <c r="C130" s="20" t="s">
        <v>34</v>
      </c>
      <c r="D130" s="32" t="s">
        <v>224</v>
      </c>
      <c r="E130" s="21" t="n">
        <v>2554.06</v>
      </c>
      <c r="F130" s="22" t="n">
        <v>94.3</v>
      </c>
      <c r="G130" s="21" t="n">
        <v>476.58</v>
      </c>
      <c r="H130" s="22" t="n">
        <v>18.7</v>
      </c>
      <c r="I130" s="23" t="n">
        <v>125</v>
      </c>
      <c r="J130" s="22" t="n">
        <v>3</v>
      </c>
      <c r="K130" s="26" t="s">
        <v>33</v>
      </c>
    </row>
    <row r="131" customFormat="false" ht="15" hidden="false" customHeight="false" outlineLevel="0" collapsed="false">
      <c r="A131" s="6" t="s">
        <v>282</v>
      </c>
      <c r="B131" s="6" t="s">
        <v>265</v>
      </c>
      <c r="C131" s="6" t="s">
        <v>31</v>
      </c>
      <c r="D131" s="30" t="s">
        <v>224</v>
      </c>
      <c r="E131" s="16" t="n">
        <v>2455</v>
      </c>
      <c r="F131" s="17" t="n">
        <v>94.6</v>
      </c>
      <c r="G131" s="16" t="n">
        <v>636.75</v>
      </c>
      <c r="H131" s="17" t="n">
        <v>25.9</v>
      </c>
      <c r="I131" s="18" t="n">
        <v>55</v>
      </c>
      <c r="J131" s="17" t="n">
        <v>3.4</v>
      </c>
      <c r="K131" s="25" t="s">
        <v>30</v>
      </c>
    </row>
    <row r="132" customFormat="false" ht="15" hidden="false" customHeight="false" outlineLevel="0" collapsed="false">
      <c r="A132" s="20" t="s">
        <v>283</v>
      </c>
      <c r="B132" s="20" t="s">
        <v>284</v>
      </c>
      <c r="C132" s="20" t="s">
        <v>34</v>
      </c>
      <c r="D132" s="32" t="s">
        <v>224</v>
      </c>
      <c r="E132" s="21" t="n">
        <v>2408.44</v>
      </c>
      <c r="F132" s="22" t="n">
        <v>94.8</v>
      </c>
      <c r="G132" s="21" t="n">
        <v>426.71</v>
      </c>
      <c r="H132" s="22" t="n">
        <v>17.7</v>
      </c>
      <c r="I132" s="23" t="n">
        <v>124</v>
      </c>
      <c r="J132" s="22" t="n">
        <v>2.8</v>
      </c>
      <c r="K132" s="26" t="s">
        <v>33</v>
      </c>
    </row>
    <row r="133" customFormat="false" ht="15" hidden="false" customHeight="false" outlineLevel="0" collapsed="false">
      <c r="A133" s="6" t="s">
        <v>285</v>
      </c>
      <c r="B133" s="6" t="s">
        <v>286</v>
      </c>
      <c r="C133" s="6" t="s">
        <v>31</v>
      </c>
      <c r="D133" s="30" t="s">
        <v>287</v>
      </c>
      <c r="E133" s="16" t="n">
        <v>2351.44</v>
      </c>
      <c r="F133" s="17" t="n">
        <v>95.1</v>
      </c>
      <c r="G133" s="16" t="n">
        <v>600.78</v>
      </c>
      <c r="H133" s="17" t="n">
        <v>25.5</v>
      </c>
      <c r="I133" s="18" t="n">
        <v>59</v>
      </c>
      <c r="J133" s="17" t="n">
        <v>2.7</v>
      </c>
      <c r="K133" s="25" t="s">
        <v>30</v>
      </c>
    </row>
    <row r="134" customFormat="false" ht="15" hidden="false" customHeight="false" outlineLevel="0" collapsed="false">
      <c r="A134" s="20" t="s">
        <v>288</v>
      </c>
      <c r="B134" s="20" t="s">
        <v>246</v>
      </c>
      <c r="C134" s="20" t="s">
        <v>31</v>
      </c>
      <c r="D134" s="32" t="s">
        <v>287</v>
      </c>
      <c r="E134" s="21" t="n">
        <v>2348.67</v>
      </c>
      <c r="F134" s="22" t="n">
        <v>95.3</v>
      </c>
      <c r="G134" s="21" t="n">
        <v>607.26</v>
      </c>
      <c r="H134" s="22" t="n">
        <v>25.9</v>
      </c>
      <c r="I134" s="23" t="n">
        <v>74</v>
      </c>
      <c r="J134" s="22" t="n">
        <v>2.2</v>
      </c>
      <c r="K134" s="24" t="s">
        <v>30</v>
      </c>
    </row>
    <row r="135" customFormat="false" ht="15" hidden="false" customHeight="false" outlineLevel="0" collapsed="false">
      <c r="A135" s="6" t="s">
        <v>289</v>
      </c>
      <c r="B135" s="6" t="s">
        <v>290</v>
      </c>
      <c r="C135" s="6" t="s">
        <v>29</v>
      </c>
      <c r="D135" s="30" t="s">
        <v>287</v>
      </c>
      <c r="E135" s="16" t="n">
        <v>2248.07</v>
      </c>
      <c r="F135" s="17" t="n">
        <v>95.5</v>
      </c>
      <c r="G135" s="16" t="n">
        <v>526.23</v>
      </c>
      <c r="H135" s="17" t="n">
        <v>23.4</v>
      </c>
      <c r="I135" s="18" t="n">
        <v>109</v>
      </c>
      <c r="J135" s="17" t="n">
        <v>2.3</v>
      </c>
      <c r="K135" s="25" t="s">
        <v>30</v>
      </c>
    </row>
    <row r="136" customFormat="false" ht="15" hidden="false" customHeight="false" outlineLevel="0" collapsed="false">
      <c r="A136" s="20" t="s">
        <v>291</v>
      </c>
      <c r="B136" s="20" t="s">
        <v>292</v>
      </c>
      <c r="C136" s="20" t="s">
        <v>31</v>
      </c>
      <c r="D136" s="32" t="s">
        <v>287</v>
      </c>
      <c r="E136" s="21" t="n">
        <v>2246.87</v>
      </c>
      <c r="F136" s="22" t="n">
        <v>95.8</v>
      </c>
      <c r="G136" s="21" t="n">
        <v>609.98</v>
      </c>
      <c r="H136" s="22" t="n">
        <v>27.1</v>
      </c>
      <c r="I136" s="23" t="n">
        <v>82</v>
      </c>
      <c r="J136" s="22" t="n">
        <v>1.8</v>
      </c>
      <c r="K136" s="24" t="s">
        <v>30</v>
      </c>
    </row>
    <row r="137" customFormat="false" ht="15" hidden="false" customHeight="false" outlineLevel="0" collapsed="false">
      <c r="A137" s="6" t="s">
        <v>85</v>
      </c>
      <c r="B137" s="6" t="s">
        <v>86</v>
      </c>
      <c r="C137" s="6" t="s">
        <v>27</v>
      </c>
      <c r="D137" s="30" t="s">
        <v>287</v>
      </c>
      <c r="E137" s="16" t="n">
        <v>2130.24</v>
      </c>
      <c r="F137" s="17" t="n">
        <v>96</v>
      </c>
      <c r="G137" s="16" t="n">
        <v>-355.55</v>
      </c>
      <c r="H137" s="17" t="n">
        <v>-16.7</v>
      </c>
      <c r="I137" s="18" t="n">
        <v>238</v>
      </c>
      <c r="J137" s="17" t="n">
        <v>7.9</v>
      </c>
      <c r="K137" s="19" t="s">
        <v>28</v>
      </c>
    </row>
    <row r="138" customFormat="false" ht="15" hidden="false" customHeight="false" outlineLevel="0" collapsed="false">
      <c r="A138" s="20" t="s">
        <v>111</v>
      </c>
      <c r="B138" s="20" t="s">
        <v>112</v>
      </c>
      <c r="C138" s="20" t="s">
        <v>27</v>
      </c>
      <c r="D138" s="32" t="s">
        <v>287</v>
      </c>
      <c r="E138" s="21" t="n">
        <v>1963.82</v>
      </c>
      <c r="F138" s="22" t="n">
        <v>96.2</v>
      </c>
      <c r="G138" s="21" t="n">
        <v>-139.84</v>
      </c>
      <c r="H138" s="22" t="n">
        <v>-7.1</v>
      </c>
      <c r="I138" s="23" t="n">
        <v>187</v>
      </c>
      <c r="J138" s="22" t="n">
        <v>7.6</v>
      </c>
      <c r="K138" s="33" t="s">
        <v>28</v>
      </c>
    </row>
    <row r="139" customFormat="false" ht="15" hidden="false" customHeight="false" outlineLevel="0" collapsed="false">
      <c r="A139" s="6" t="s">
        <v>293</v>
      </c>
      <c r="B139" s="6" t="s">
        <v>294</v>
      </c>
      <c r="C139" s="6" t="s">
        <v>34</v>
      </c>
      <c r="D139" s="30" t="s">
        <v>287</v>
      </c>
      <c r="E139" s="16" t="n">
        <v>1957</v>
      </c>
      <c r="F139" s="17" t="n">
        <v>96.4</v>
      </c>
      <c r="G139" s="16" t="n">
        <v>332.72</v>
      </c>
      <c r="H139" s="17" t="n">
        <v>17</v>
      </c>
      <c r="I139" s="18" t="n">
        <v>122</v>
      </c>
      <c r="J139" s="17" t="n">
        <v>3.9</v>
      </c>
      <c r="K139" s="31" t="s">
        <v>33</v>
      </c>
    </row>
    <row r="140" customFormat="false" ht="15" hidden="false" customHeight="false" outlineLevel="0" collapsed="false">
      <c r="A140" s="20" t="s">
        <v>295</v>
      </c>
      <c r="B140" s="20" t="s">
        <v>215</v>
      </c>
      <c r="C140" s="20" t="s">
        <v>31</v>
      </c>
      <c r="D140" s="32" t="s">
        <v>287</v>
      </c>
      <c r="E140" s="21" t="n">
        <v>1875.71</v>
      </c>
      <c r="F140" s="22" t="n">
        <v>96.6</v>
      </c>
      <c r="G140" s="21" t="n">
        <v>455.72</v>
      </c>
      <c r="H140" s="22" t="n">
        <v>24.3</v>
      </c>
      <c r="I140" s="23" t="n">
        <v>83</v>
      </c>
      <c r="J140" s="22" t="n">
        <v>2.2</v>
      </c>
      <c r="K140" s="24" t="s">
        <v>30</v>
      </c>
    </row>
    <row r="141" customFormat="false" ht="15" hidden="false" customHeight="false" outlineLevel="0" collapsed="false">
      <c r="A141" s="6" t="s">
        <v>103</v>
      </c>
      <c r="B141" s="6" t="s">
        <v>104</v>
      </c>
      <c r="C141" s="6" t="s">
        <v>27</v>
      </c>
      <c r="D141" s="30" t="s">
        <v>287</v>
      </c>
      <c r="E141" s="16" t="n">
        <v>1865.15</v>
      </c>
      <c r="F141" s="17" t="n">
        <v>96.8</v>
      </c>
      <c r="G141" s="16" t="n">
        <v>-245.86</v>
      </c>
      <c r="H141" s="17" t="n">
        <v>-13.2</v>
      </c>
      <c r="I141" s="18" t="n">
        <v>172</v>
      </c>
      <c r="J141" s="17" t="n">
        <v>7.4</v>
      </c>
      <c r="K141" s="19" t="s">
        <v>28</v>
      </c>
    </row>
    <row r="142" customFormat="false" ht="15" hidden="false" customHeight="false" outlineLevel="0" collapsed="false">
      <c r="A142" s="20" t="s">
        <v>296</v>
      </c>
      <c r="B142" s="20" t="s">
        <v>297</v>
      </c>
      <c r="C142" s="20" t="s">
        <v>31</v>
      </c>
      <c r="D142" s="32" t="s">
        <v>287</v>
      </c>
      <c r="E142" s="21" t="n">
        <v>1839.54</v>
      </c>
      <c r="F142" s="22" t="n">
        <v>97</v>
      </c>
      <c r="G142" s="21" t="n">
        <v>470.46</v>
      </c>
      <c r="H142" s="22" t="n">
        <v>25.6</v>
      </c>
      <c r="I142" s="23" t="n">
        <v>79</v>
      </c>
      <c r="J142" s="22" t="n">
        <v>2.7</v>
      </c>
      <c r="K142" s="24" t="s">
        <v>30</v>
      </c>
    </row>
    <row r="143" customFormat="false" ht="15" hidden="false" customHeight="false" outlineLevel="0" collapsed="false">
      <c r="A143" s="6" t="s">
        <v>298</v>
      </c>
      <c r="B143" s="6" t="s">
        <v>297</v>
      </c>
      <c r="C143" s="6" t="s">
        <v>31</v>
      </c>
      <c r="D143" s="30" t="s">
        <v>287</v>
      </c>
      <c r="E143" s="16" t="n">
        <v>1729.77</v>
      </c>
      <c r="F143" s="17" t="n">
        <v>97.1</v>
      </c>
      <c r="G143" s="16" t="n">
        <v>464.67</v>
      </c>
      <c r="H143" s="17" t="n">
        <v>26.9</v>
      </c>
      <c r="I143" s="18" t="n">
        <v>64</v>
      </c>
      <c r="J143" s="17" t="n">
        <v>3.1</v>
      </c>
      <c r="K143" s="25" t="s">
        <v>30</v>
      </c>
    </row>
    <row r="144" customFormat="false" ht="15" hidden="false" customHeight="false" outlineLevel="0" collapsed="false">
      <c r="A144" s="20" t="s">
        <v>299</v>
      </c>
      <c r="B144" s="20" t="s">
        <v>300</v>
      </c>
      <c r="C144" s="20" t="s">
        <v>29</v>
      </c>
      <c r="D144" s="32" t="s">
        <v>287</v>
      </c>
      <c r="E144" s="21" t="n">
        <v>1677.7</v>
      </c>
      <c r="F144" s="22" t="n">
        <v>97.3</v>
      </c>
      <c r="G144" s="21" t="n">
        <v>413.64</v>
      </c>
      <c r="H144" s="22" t="n">
        <v>24.7</v>
      </c>
      <c r="I144" s="23" t="n">
        <v>152</v>
      </c>
      <c r="J144" s="22" t="n">
        <v>2</v>
      </c>
      <c r="K144" s="24" t="s">
        <v>30</v>
      </c>
    </row>
    <row r="145" customFormat="false" ht="15" hidden="false" customHeight="false" outlineLevel="0" collapsed="false">
      <c r="A145" s="6" t="s">
        <v>301</v>
      </c>
      <c r="B145" s="6" t="s">
        <v>300</v>
      </c>
      <c r="C145" s="6" t="s">
        <v>29</v>
      </c>
      <c r="D145" s="30" t="s">
        <v>287</v>
      </c>
      <c r="E145" s="16" t="n">
        <v>1614.94</v>
      </c>
      <c r="F145" s="17" t="n">
        <v>97.5</v>
      </c>
      <c r="G145" s="16" t="n">
        <v>383.85</v>
      </c>
      <c r="H145" s="17" t="n">
        <v>23.8</v>
      </c>
      <c r="I145" s="18" t="n">
        <v>62</v>
      </c>
      <c r="J145" s="17" t="n">
        <v>2.2</v>
      </c>
      <c r="K145" s="25" t="s">
        <v>30</v>
      </c>
    </row>
    <row r="146" customFormat="false" ht="15" hidden="false" customHeight="false" outlineLevel="0" collapsed="false">
      <c r="A146" s="20" t="s">
        <v>302</v>
      </c>
      <c r="B146" s="20" t="s">
        <v>219</v>
      </c>
      <c r="C146" s="20" t="s">
        <v>34</v>
      </c>
      <c r="D146" s="32" t="s">
        <v>287</v>
      </c>
      <c r="E146" s="21" t="n">
        <v>1610.54</v>
      </c>
      <c r="F146" s="22" t="n">
        <v>97.6</v>
      </c>
      <c r="G146" s="21" t="n">
        <v>272.78</v>
      </c>
      <c r="H146" s="22" t="n">
        <v>16.9</v>
      </c>
      <c r="I146" s="23" t="n">
        <v>86</v>
      </c>
      <c r="J146" s="22" t="n">
        <v>3</v>
      </c>
      <c r="K146" s="26" t="s">
        <v>33</v>
      </c>
    </row>
    <row r="147" customFormat="false" ht="15" hidden="false" customHeight="false" outlineLevel="0" collapsed="false">
      <c r="A147" s="6" t="s">
        <v>303</v>
      </c>
      <c r="B147" s="6" t="s">
        <v>248</v>
      </c>
      <c r="C147" s="6" t="s">
        <v>29</v>
      </c>
      <c r="D147" s="30" t="s">
        <v>287</v>
      </c>
      <c r="E147" s="16" t="n">
        <v>1601.72</v>
      </c>
      <c r="F147" s="17" t="n">
        <v>97.8</v>
      </c>
      <c r="G147" s="16" t="n">
        <v>368.02</v>
      </c>
      <c r="H147" s="17" t="n">
        <v>23</v>
      </c>
      <c r="I147" s="18" t="n">
        <v>123</v>
      </c>
      <c r="J147" s="17" t="n">
        <v>2.1</v>
      </c>
      <c r="K147" s="25" t="s">
        <v>30</v>
      </c>
    </row>
    <row r="148" customFormat="false" ht="15" hidden="false" customHeight="false" outlineLevel="0" collapsed="false">
      <c r="A148" s="20" t="s">
        <v>304</v>
      </c>
      <c r="B148" s="20" t="s">
        <v>305</v>
      </c>
      <c r="C148" s="20" t="s">
        <v>31</v>
      </c>
      <c r="D148" s="32" t="s">
        <v>287</v>
      </c>
      <c r="E148" s="21" t="n">
        <v>1567.65</v>
      </c>
      <c r="F148" s="22" t="n">
        <v>98</v>
      </c>
      <c r="G148" s="21" t="n">
        <v>439.99</v>
      </c>
      <c r="H148" s="22" t="n">
        <v>28.1</v>
      </c>
      <c r="I148" s="23" t="n">
        <v>35</v>
      </c>
      <c r="J148" s="22" t="n">
        <v>2.4</v>
      </c>
      <c r="K148" s="24" t="s">
        <v>30</v>
      </c>
    </row>
    <row r="149" customFormat="false" ht="15" hidden="false" customHeight="false" outlineLevel="0" collapsed="false">
      <c r="A149" s="6" t="s">
        <v>306</v>
      </c>
      <c r="B149" s="6" t="s">
        <v>307</v>
      </c>
      <c r="C149" s="6" t="s">
        <v>29</v>
      </c>
      <c r="D149" s="30" t="s">
        <v>287</v>
      </c>
      <c r="E149" s="16" t="n">
        <v>1494.38</v>
      </c>
      <c r="F149" s="17" t="n">
        <v>98.1</v>
      </c>
      <c r="G149" s="16" t="n">
        <v>307.16</v>
      </c>
      <c r="H149" s="17" t="n">
        <v>20.6</v>
      </c>
      <c r="I149" s="18" t="n">
        <v>87</v>
      </c>
      <c r="J149" s="17" t="n">
        <v>1.3</v>
      </c>
      <c r="K149" s="25" t="s">
        <v>30</v>
      </c>
    </row>
    <row r="150" customFormat="false" ht="15" hidden="false" customHeight="false" outlineLevel="0" collapsed="false">
      <c r="A150" s="20" t="s">
        <v>308</v>
      </c>
      <c r="B150" s="20" t="s">
        <v>309</v>
      </c>
      <c r="C150" s="20" t="s">
        <v>29</v>
      </c>
      <c r="D150" s="32" t="s">
        <v>287</v>
      </c>
      <c r="E150" s="21" t="n">
        <v>1476.93</v>
      </c>
      <c r="F150" s="22" t="n">
        <v>98.3</v>
      </c>
      <c r="G150" s="21" t="n">
        <v>349.07</v>
      </c>
      <c r="H150" s="22" t="n">
        <v>23.6</v>
      </c>
      <c r="I150" s="23" t="n">
        <v>70</v>
      </c>
      <c r="J150" s="22" t="n">
        <v>1.4</v>
      </c>
      <c r="K150" s="24" t="s">
        <v>30</v>
      </c>
    </row>
    <row r="151" customFormat="false" ht="15" hidden="false" customHeight="false" outlineLevel="0" collapsed="false">
      <c r="A151" s="6" t="s">
        <v>310</v>
      </c>
      <c r="B151" s="6" t="s">
        <v>311</v>
      </c>
      <c r="C151" s="6" t="s">
        <v>29</v>
      </c>
      <c r="D151" s="30" t="s">
        <v>287</v>
      </c>
      <c r="E151" s="16" t="n">
        <v>1382.85</v>
      </c>
      <c r="F151" s="17" t="n">
        <v>98.4</v>
      </c>
      <c r="G151" s="16" t="n">
        <v>341.19</v>
      </c>
      <c r="H151" s="17" t="n">
        <v>24.7</v>
      </c>
      <c r="I151" s="18" t="n">
        <v>69</v>
      </c>
      <c r="J151" s="17" t="n">
        <v>1.9</v>
      </c>
      <c r="K151" s="25" t="s">
        <v>30</v>
      </c>
    </row>
    <row r="152" customFormat="false" ht="15" hidden="false" customHeight="false" outlineLevel="0" collapsed="false">
      <c r="A152" s="20" t="s">
        <v>312</v>
      </c>
      <c r="B152" s="20" t="s">
        <v>313</v>
      </c>
      <c r="C152" s="20" t="s">
        <v>31</v>
      </c>
      <c r="D152" s="32" t="s">
        <v>287</v>
      </c>
      <c r="E152" s="21" t="n">
        <v>1380.92</v>
      </c>
      <c r="F152" s="22" t="n">
        <v>98.6</v>
      </c>
      <c r="G152" s="21" t="n">
        <v>337.44</v>
      </c>
      <c r="H152" s="22" t="n">
        <v>24.4</v>
      </c>
      <c r="I152" s="23" t="n">
        <v>35</v>
      </c>
      <c r="J152" s="22" t="n">
        <v>1.6</v>
      </c>
      <c r="K152" s="24" t="s">
        <v>30</v>
      </c>
    </row>
    <row r="153" customFormat="false" ht="15" hidden="false" customHeight="false" outlineLevel="0" collapsed="false">
      <c r="A153" s="6" t="s">
        <v>314</v>
      </c>
      <c r="B153" s="6" t="s">
        <v>315</v>
      </c>
      <c r="C153" s="6" t="s">
        <v>29</v>
      </c>
      <c r="D153" s="30" t="s">
        <v>287</v>
      </c>
      <c r="E153" s="16" t="n">
        <v>1182.47</v>
      </c>
      <c r="F153" s="17" t="n">
        <v>98.7</v>
      </c>
      <c r="G153" s="16" t="n">
        <v>204.52</v>
      </c>
      <c r="H153" s="17" t="n">
        <v>17.3</v>
      </c>
      <c r="I153" s="18" t="n">
        <v>149</v>
      </c>
      <c r="J153" s="17" t="n">
        <v>2</v>
      </c>
      <c r="K153" s="31" t="s">
        <v>33</v>
      </c>
    </row>
    <row r="154" customFormat="false" ht="15" hidden="false" customHeight="false" outlineLevel="0" collapsed="false">
      <c r="A154" s="20" t="s">
        <v>316</v>
      </c>
      <c r="B154" s="20" t="s">
        <v>317</v>
      </c>
      <c r="C154" s="20" t="s">
        <v>31</v>
      </c>
      <c r="D154" s="32" t="s">
        <v>287</v>
      </c>
      <c r="E154" s="21" t="n">
        <v>1152.13</v>
      </c>
      <c r="F154" s="22" t="n">
        <v>98.8</v>
      </c>
      <c r="G154" s="21" t="n">
        <v>274.53</v>
      </c>
      <c r="H154" s="22" t="n">
        <v>23.8</v>
      </c>
      <c r="I154" s="23" t="n">
        <v>43</v>
      </c>
      <c r="J154" s="22" t="n">
        <v>2.2</v>
      </c>
      <c r="K154" s="24" t="s">
        <v>30</v>
      </c>
    </row>
    <row r="155" customFormat="false" ht="15" hidden="false" customHeight="false" outlineLevel="0" collapsed="false">
      <c r="A155" s="6" t="s">
        <v>318</v>
      </c>
      <c r="B155" s="6" t="s">
        <v>319</v>
      </c>
      <c r="C155" s="6" t="s">
        <v>29</v>
      </c>
      <c r="D155" s="30" t="s">
        <v>287</v>
      </c>
      <c r="E155" s="16" t="n">
        <v>1129.86</v>
      </c>
      <c r="F155" s="17" t="n">
        <v>98.9</v>
      </c>
      <c r="G155" s="16" t="n">
        <v>252.39</v>
      </c>
      <c r="H155" s="17" t="n">
        <v>22.3</v>
      </c>
      <c r="I155" s="18" t="n">
        <v>54</v>
      </c>
      <c r="J155" s="17" t="n">
        <v>2.4</v>
      </c>
      <c r="K155" s="25" t="s">
        <v>30</v>
      </c>
    </row>
    <row r="156" customFormat="false" ht="15" hidden="false" customHeight="false" outlineLevel="0" collapsed="false">
      <c r="A156" s="20" t="s">
        <v>113</v>
      </c>
      <c r="B156" s="20" t="s">
        <v>114</v>
      </c>
      <c r="C156" s="20" t="s">
        <v>27</v>
      </c>
      <c r="D156" s="32" t="s">
        <v>287</v>
      </c>
      <c r="E156" s="21" t="n">
        <v>1056.04</v>
      </c>
      <c r="F156" s="22" t="n">
        <v>99</v>
      </c>
      <c r="G156" s="21" t="n">
        <v>-126.76</v>
      </c>
      <c r="H156" s="22" t="n">
        <v>-12</v>
      </c>
      <c r="I156" s="23" t="n">
        <v>127</v>
      </c>
      <c r="J156" s="22" t="n">
        <v>9.2</v>
      </c>
      <c r="K156" s="33" t="s">
        <v>28</v>
      </c>
    </row>
    <row r="157" customFormat="false" ht="15" hidden="false" customHeight="false" outlineLevel="0" collapsed="false">
      <c r="A157" s="6" t="s">
        <v>320</v>
      </c>
      <c r="B157" s="6" t="s">
        <v>321</v>
      </c>
      <c r="C157" s="6" t="s">
        <v>31</v>
      </c>
      <c r="D157" s="30" t="s">
        <v>287</v>
      </c>
      <c r="E157" s="16" t="n">
        <v>1026.23</v>
      </c>
      <c r="F157" s="17" t="n">
        <v>99.1</v>
      </c>
      <c r="G157" s="16" t="n">
        <v>234.91</v>
      </c>
      <c r="H157" s="17" t="n">
        <v>22.9</v>
      </c>
      <c r="I157" s="18" t="n">
        <v>74</v>
      </c>
      <c r="J157" s="17" t="n">
        <v>2.3</v>
      </c>
      <c r="K157" s="25" t="s">
        <v>30</v>
      </c>
    </row>
    <row r="158" customFormat="false" ht="15" hidden="false" customHeight="false" outlineLevel="0" collapsed="false">
      <c r="A158" s="20" t="s">
        <v>322</v>
      </c>
      <c r="B158" s="20" t="s">
        <v>323</v>
      </c>
      <c r="C158" s="20" t="s">
        <v>29</v>
      </c>
      <c r="D158" s="32" t="s">
        <v>287</v>
      </c>
      <c r="E158" s="21" t="n">
        <v>969.56</v>
      </c>
      <c r="F158" s="22" t="n">
        <v>99.2</v>
      </c>
      <c r="G158" s="21" t="n">
        <v>206.14</v>
      </c>
      <c r="H158" s="22" t="n">
        <v>21.3</v>
      </c>
      <c r="I158" s="23" t="n">
        <v>91</v>
      </c>
      <c r="J158" s="22" t="n">
        <v>2.4</v>
      </c>
      <c r="K158" s="24" t="s">
        <v>30</v>
      </c>
    </row>
    <row r="159" customFormat="false" ht="15" hidden="false" customHeight="false" outlineLevel="0" collapsed="false">
      <c r="A159" s="6" t="s">
        <v>324</v>
      </c>
      <c r="B159" s="6" t="s">
        <v>261</v>
      </c>
      <c r="C159" s="6" t="s">
        <v>31</v>
      </c>
      <c r="D159" s="30" t="s">
        <v>287</v>
      </c>
      <c r="E159" s="16" t="n">
        <v>960.02</v>
      </c>
      <c r="F159" s="17" t="n">
        <v>99.3</v>
      </c>
      <c r="G159" s="16" t="n">
        <v>208.49</v>
      </c>
      <c r="H159" s="17" t="n">
        <v>21.7</v>
      </c>
      <c r="I159" s="18" t="n">
        <v>26</v>
      </c>
      <c r="J159" s="17" t="n">
        <v>3.1</v>
      </c>
      <c r="K159" s="25" t="s">
        <v>30</v>
      </c>
    </row>
    <row r="160" customFormat="false" ht="15" hidden="false" customHeight="false" outlineLevel="0" collapsed="false">
      <c r="A160" s="20" t="s">
        <v>325</v>
      </c>
      <c r="B160" s="20" t="s">
        <v>326</v>
      </c>
      <c r="C160" s="20" t="s">
        <v>31</v>
      </c>
      <c r="D160" s="32" t="s">
        <v>287</v>
      </c>
      <c r="E160" s="21" t="n">
        <v>946.45</v>
      </c>
      <c r="F160" s="22" t="n">
        <v>99.4</v>
      </c>
      <c r="G160" s="21" t="n">
        <v>214.43</v>
      </c>
      <c r="H160" s="22" t="n">
        <v>22.7</v>
      </c>
      <c r="I160" s="23" t="n">
        <v>48</v>
      </c>
      <c r="J160" s="22" t="n">
        <v>1.9</v>
      </c>
      <c r="K160" s="24" t="s">
        <v>30</v>
      </c>
    </row>
    <row r="161" customFormat="false" ht="15" hidden="false" customHeight="false" outlineLevel="0" collapsed="false">
      <c r="A161" s="6" t="s">
        <v>327</v>
      </c>
      <c r="B161" s="6" t="s">
        <v>328</v>
      </c>
      <c r="C161" s="6" t="s">
        <v>31</v>
      </c>
      <c r="D161" s="30" t="s">
        <v>287</v>
      </c>
      <c r="E161" s="16" t="n">
        <v>856.34</v>
      </c>
      <c r="F161" s="17" t="n">
        <v>99.5</v>
      </c>
      <c r="G161" s="16" t="n">
        <v>176.91</v>
      </c>
      <c r="H161" s="17" t="n">
        <v>20.7</v>
      </c>
      <c r="I161" s="18" t="n">
        <v>99</v>
      </c>
      <c r="J161" s="17" t="n">
        <v>3.6</v>
      </c>
      <c r="K161" s="25" t="s">
        <v>30</v>
      </c>
    </row>
    <row r="162" customFormat="false" ht="15" hidden="false" customHeight="false" outlineLevel="0" collapsed="false">
      <c r="A162" s="20" t="s">
        <v>329</v>
      </c>
      <c r="B162" s="20" t="s">
        <v>330</v>
      </c>
      <c r="C162" s="20" t="s">
        <v>29</v>
      </c>
      <c r="D162" s="32" t="s">
        <v>287</v>
      </c>
      <c r="E162" s="21" t="n">
        <v>822.46</v>
      </c>
      <c r="F162" s="22" t="n">
        <v>99.6</v>
      </c>
      <c r="G162" s="21" t="n">
        <v>182.41</v>
      </c>
      <c r="H162" s="22" t="n">
        <v>22.2</v>
      </c>
      <c r="I162" s="23" t="n">
        <v>75</v>
      </c>
      <c r="J162" s="22" t="n">
        <v>2.3</v>
      </c>
      <c r="K162" s="24" t="s">
        <v>30</v>
      </c>
    </row>
    <row r="163" customFormat="false" ht="15" hidden="false" customHeight="false" outlineLevel="0" collapsed="false">
      <c r="A163" s="6" t="s">
        <v>331</v>
      </c>
      <c r="B163" s="6" t="s">
        <v>248</v>
      </c>
      <c r="C163" s="6" t="s">
        <v>29</v>
      </c>
      <c r="D163" s="30" t="s">
        <v>287</v>
      </c>
      <c r="E163" s="16" t="n">
        <v>804.35</v>
      </c>
      <c r="F163" s="17" t="n">
        <v>99.7</v>
      </c>
      <c r="G163" s="16" t="n">
        <v>190.13</v>
      </c>
      <c r="H163" s="17" t="n">
        <v>23.6</v>
      </c>
      <c r="I163" s="18" t="n">
        <v>109</v>
      </c>
      <c r="J163" s="17" t="n">
        <v>2.1</v>
      </c>
      <c r="K163" s="25" t="s">
        <v>30</v>
      </c>
    </row>
    <row r="164" customFormat="false" ht="15" hidden="false" customHeight="false" outlineLevel="0" collapsed="false">
      <c r="A164" s="20" t="s">
        <v>332</v>
      </c>
      <c r="B164" s="20" t="s">
        <v>333</v>
      </c>
      <c r="C164" s="20" t="s">
        <v>31</v>
      </c>
      <c r="D164" s="32" t="s">
        <v>287</v>
      </c>
      <c r="E164" s="21" t="n">
        <v>705.71</v>
      </c>
      <c r="F164" s="22" t="n">
        <v>99.8</v>
      </c>
      <c r="G164" s="21" t="n">
        <v>132.79</v>
      </c>
      <c r="H164" s="22" t="n">
        <v>18.8</v>
      </c>
      <c r="I164" s="23" t="n">
        <v>81</v>
      </c>
      <c r="J164" s="22" t="n">
        <v>2.8</v>
      </c>
      <c r="K164" s="26" t="s">
        <v>33</v>
      </c>
    </row>
    <row r="165" customFormat="false" ht="15" hidden="false" customHeight="false" outlineLevel="0" collapsed="false">
      <c r="A165" s="6" t="s">
        <v>334</v>
      </c>
      <c r="B165" s="6" t="s">
        <v>335</v>
      </c>
      <c r="C165" s="6" t="s">
        <v>31</v>
      </c>
      <c r="D165" s="30" t="s">
        <v>287</v>
      </c>
      <c r="E165" s="16" t="n">
        <v>697.34</v>
      </c>
      <c r="F165" s="17" t="n">
        <v>99.8</v>
      </c>
      <c r="G165" s="16" t="n">
        <v>175.04</v>
      </c>
      <c r="H165" s="17" t="n">
        <v>25.1</v>
      </c>
      <c r="I165" s="18" t="n">
        <v>47</v>
      </c>
      <c r="J165" s="17" t="n">
        <v>2.7</v>
      </c>
      <c r="K165" s="25" t="s">
        <v>30</v>
      </c>
    </row>
    <row r="166" customFormat="false" ht="15" hidden="false" customHeight="false" outlineLevel="0" collapsed="false">
      <c r="A166" s="20" t="s">
        <v>336</v>
      </c>
      <c r="B166" s="20" t="s">
        <v>337</v>
      </c>
      <c r="C166" s="20" t="s">
        <v>29</v>
      </c>
      <c r="D166" s="32" t="s">
        <v>287</v>
      </c>
      <c r="E166" s="21" t="n">
        <v>542.76</v>
      </c>
      <c r="F166" s="22" t="n">
        <v>99.9</v>
      </c>
      <c r="G166" s="21" t="n">
        <v>128.91</v>
      </c>
      <c r="H166" s="22" t="n">
        <v>23.8</v>
      </c>
      <c r="I166" s="23" t="n">
        <v>80</v>
      </c>
      <c r="J166" s="22" t="n">
        <v>1.8</v>
      </c>
      <c r="K166" s="24" t="s">
        <v>30</v>
      </c>
    </row>
    <row r="167" customFormat="false" ht="15" hidden="false" customHeight="false" outlineLevel="0" collapsed="false">
      <c r="A167" s="6" t="s">
        <v>338</v>
      </c>
      <c r="B167" s="6" t="s">
        <v>211</v>
      </c>
      <c r="C167" s="6" t="s">
        <v>31</v>
      </c>
      <c r="D167" s="30" t="s">
        <v>287</v>
      </c>
      <c r="E167" s="16" t="n">
        <v>492.82</v>
      </c>
      <c r="F167" s="17" t="n">
        <v>99.9</v>
      </c>
      <c r="G167" s="16" t="n">
        <v>96.22</v>
      </c>
      <c r="H167" s="17" t="n">
        <v>19.5</v>
      </c>
      <c r="I167" s="18" t="n">
        <v>51</v>
      </c>
      <c r="J167" s="17" t="n">
        <v>3</v>
      </c>
      <c r="K167" s="31" t="s">
        <v>33</v>
      </c>
    </row>
    <row r="168" customFormat="false" ht="15" hidden="false" customHeight="false" outlineLevel="0" collapsed="false">
      <c r="A168" s="20" t="s">
        <v>339</v>
      </c>
      <c r="B168" s="20" t="s">
        <v>340</v>
      </c>
      <c r="C168" s="20" t="s">
        <v>29</v>
      </c>
      <c r="D168" s="32" t="s">
        <v>287</v>
      </c>
      <c r="E168" s="21" t="n">
        <v>364.43</v>
      </c>
      <c r="F168" s="22" t="n">
        <v>100</v>
      </c>
      <c r="G168" s="21" t="n">
        <v>76.69</v>
      </c>
      <c r="H168" s="22" t="n">
        <v>21</v>
      </c>
      <c r="I168" s="23" t="n">
        <v>46</v>
      </c>
      <c r="J168" s="22" t="n">
        <v>1.5</v>
      </c>
      <c r="K168" s="24" t="s">
        <v>30</v>
      </c>
    </row>
    <row r="169" customFormat="false" ht="15" hidden="false" customHeight="false" outlineLevel="0" collapsed="false">
      <c r="A169" s="6" t="s">
        <v>341</v>
      </c>
      <c r="B169" s="6" t="s">
        <v>309</v>
      </c>
      <c r="C169" s="6" t="s">
        <v>29</v>
      </c>
      <c r="D169" s="30" t="s">
        <v>287</v>
      </c>
      <c r="E169" s="16" t="n">
        <v>327.54</v>
      </c>
      <c r="F169" s="17" t="n">
        <v>100</v>
      </c>
      <c r="G169" s="16" t="n">
        <v>61.45</v>
      </c>
      <c r="H169" s="17" t="n">
        <v>18.8</v>
      </c>
      <c r="I169" s="18" t="n">
        <v>41</v>
      </c>
      <c r="J169" s="17" t="n">
        <v>1.8</v>
      </c>
      <c r="K169" s="31" t="s">
        <v>33</v>
      </c>
    </row>
    <row r="170" customFormat="false" ht="15" hidden="false" customHeight="false" outlineLevel="0" collapsed="false">
      <c r="A170" s="27" t="s">
        <v>35</v>
      </c>
      <c r="E170" s="28" t="n">
        <f aca="false">SUM(E5:E169)</f>
        <v>972782.21</v>
      </c>
      <c r="G170" s="28" t="n">
        <f aca="false">SUM(G5:G169)</f>
        <v>123014.93</v>
      </c>
      <c r="I170" s="29" t="n">
        <f aca="false">SUM(I5:I169)</f>
        <v>26924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3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25"/>
    <col collapsed="false" customWidth="true" hidden="false" outlineLevel="0" max="8" min="8" style="0" width="12"/>
    <col collapsed="false" customWidth="true" hidden="false" outlineLevel="0" max="9" min="9" style="0" width="15"/>
    <col collapsed="false" customWidth="true" hidden="false" outlineLevel="0" max="11" min="10" style="0" width="19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4" t="s">
        <v>342</v>
      </c>
    </row>
    <row r="2" customFormat="false" ht="15" hidden="false" customHeight="false" outlineLevel="0" collapsed="false">
      <c r="A2" s="3" t="s">
        <v>343</v>
      </c>
    </row>
    <row r="4" customFormat="false" ht="15" hidden="false" customHeight="false" outlineLevel="0" collapsed="false">
      <c r="A4" s="15" t="s">
        <v>38</v>
      </c>
      <c r="B4" s="15" t="s">
        <v>344</v>
      </c>
      <c r="C4" s="15" t="s">
        <v>345</v>
      </c>
      <c r="D4" s="15" t="s">
        <v>346</v>
      </c>
      <c r="E4" s="15" t="s">
        <v>117</v>
      </c>
      <c r="F4" s="15" t="s">
        <v>21</v>
      </c>
      <c r="G4" s="15" t="s">
        <v>5</v>
      </c>
      <c r="H4" s="15" t="s">
        <v>22</v>
      </c>
      <c r="I4" s="15" t="s">
        <v>347</v>
      </c>
      <c r="J4" s="15" t="s">
        <v>41</v>
      </c>
      <c r="K4" s="15" t="s">
        <v>23</v>
      </c>
      <c r="L4" s="15" t="s">
        <v>25</v>
      </c>
    </row>
    <row r="5" customFormat="false" ht="15" hidden="false" customHeight="false" outlineLevel="0" collapsed="false">
      <c r="A5" s="6" t="s">
        <v>348</v>
      </c>
      <c r="B5" s="6" t="s">
        <v>349</v>
      </c>
      <c r="C5" s="6" t="s">
        <v>350</v>
      </c>
      <c r="D5" s="6" t="s">
        <v>351</v>
      </c>
      <c r="E5" s="30" t="s">
        <v>121</v>
      </c>
      <c r="F5" s="16" t="n">
        <v>90250.92</v>
      </c>
      <c r="G5" s="16" t="n">
        <v>11770.57</v>
      </c>
      <c r="H5" s="17" t="n">
        <v>13</v>
      </c>
      <c r="I5" s="16" t="n">
        <v>518.68</v>
      </c>
      <c r="J5" s="17" t="n">
        <v>3.3</v>
      </c>
      <c r="K5" s="16" t="n">
        <v>5705.22</v>
      </c>
      <c r="L5" s="18" t="n">
        <v>174</v>
      </c>
    </row>
    <row r="6" customFormat="false" ht="15" hidden="false" customHeight="false" outlineLevel="0" collapsed="false">
      <c r="A6" s="20" t="s">
        <v>352</v>
      </c>
      <c r="B6" s="20" t="s">
        <v>353</v>
      </c>
      <c r="C6" s="20" t="s">
        <v>354</v>
      </c>
      <c r="D6" s="20" t="s">
        <v>355</v>
      </c>
      <c r="E6" s="32" t="s">
        <v>121</v>
      </c>
      <c r="F6" s="21" t="n">
        <v>78740.61</v>
      </c>
      <c r="G6" s="21" t="n">
        <v>10100.9</v>
      </c>
      <c r="H6" s="22" t="n">
        <v>12.8</v>
      </c>
      <c r="I6" s="21" t="n">
        <v>457.79</v>
      </c>
      <c r="J6" s="22" t="n">
        <v>5.9</v>
      </c>
      <c r="K6" s="21" t="n">
        <v>5152.84</v>
      </c>
      <c r="L6" s="23" t="n">
        <v>172</v>
      </c>
    </row>
    <row r="7" customFormat="false" ht="15" hidden="false" customHeight="false" outlineLevel="0" collapsed="false">
      <c r="A7" s="6" t="s">
        <v>356</v>
      </c>
      <c r="B7" s="6" t="s">
        <v>357</v>
      </c>
      <c r="C7" s="6" t="s">
        <v>350</v>
      </c>
      <c r="D7" s="6" t="s">
        <v>355</v>
      </c>
      <c r="E7" s="30" t="s">
        <v>121</v>
      </c>
      <c r="F7" s="16" t="n">
        <v>65657.64</v>
      </c>
      <c r="G7" s="16" t="n">
        <v>6467.51</v>
      </c>
      <c r="H7" s="17" t="n">
        <v>9.9</v>
      </c>
      <c r="I7" s="16" t="n">
        <v>533.8</v>
      </c>
      <c r="J7" s="17" t="n">
        <v>5.9</v>
      </c>
      <c r="K7" s="16" t="n">
        <v>4015.34</v>
      </c>
      <c r="L7" s="18" t="n">
        <v>123</v>
      </c>
    </row>
    <row r="8" customFormat="false" ht="15" hidden="false" customHeight="false" outlineLevel="0" collapsed="false">
      <c r="A8" s="20" t="s">
        <v>358</v>
      </c>
      <c r="B8" s="20" t="s">
        <v>359</v>
      </c>
      <c r="C8" s="20" t="s">
        <v>360</v>
      </c>
      <c r="D8" s="20" t="s">
        <v>355</v>
      </c>
      <c r="E8" s="32" t="s">
        <v>121</v>
      </c>
      <c r="F8" s="21" t="n">
        <v>41662.2</v>
      </c>
      <c r="G8" s="21" t="n">
        <v>6203.72</v>
      </c>
      <c r="H8" s="22" t="n">
        <v>14.9</v>
      </c>
      <c r="I8" s="21" t="n">
        <v>478.88</v>
      </c>
      <c r="J8" s="22" t="n">
        <v>3.4</v>
      </c>
      <c r="K8" s="21" t="n">
        <v>2825.64</v>
      </c>
      <c r="L8" s="23" t="n">
        <v>87</v>
      </c>
    </row>
    <row r="9" customFormat="false" ht="15" hidden="false" customHeight="false" outlineLevel="0" collapsed="false">
      <c r="A9" s="6" t="s">
        <v>361</v>
      </c>
      <c r="B9" s="6" t="s">
        <v>362</v>
      </c>
      <c r="C9" s="6" t="s">
        <v>363</v>
      </c>
      <c r="D9" s="6" t="s">
        <v>355</v>
      </c>
      <c r="E9" s="30" t="s">
        <v>121</v>
      </c>
      <c r="F9" s="16" t="n">
        <v>36344.39</v>
      </c>
      <c r="G9" s="16" t="n">
        <v>2249.19</v>
      </c>
      <c r="H9" s="17" t="n">
        <v>6.2</v>
      </c>
      <c r="I9" s="16" t="n">
        <v>472.01</v>
      </c>
      <c r="J9" s="17" t="n">
        <v>5.9</v>
      </c>
      <c r="K9" s="16" t="n">
        <v>2826.09</v>
      </c>
      <c r="L9" s="18" t="n">
        <v>77</v>
      </c>
    </row>
    <row r="10" customFormat="false" ht="15" hidden="false" customHeight="false" outlineLevel="0" collapsed="false">
      <c r="A10" s="20" t="s">
        <v>364</v>
      </c>
      <c r="B10" s="20" t="s">
        <v>365</v>
      </c>
      <c r="C10" s="20" t="s">
        <v>366</v>
      </c>
      <c r="D10" s="20" t="s">
        <v>355</v>
      </c>
      <c r="E10" s="32" t="s">
        <v>121</v>
      </c>
      <c r="F10" s="21" t="n">
        <v>25125.9</v>
      </c>
      <c r="G10" s="21" t="n">
        <v>2606.92</v>
      </c>
      <c r="H10" s="22" t="n">
        <v>10.4</v>
      </c>
      <c r="I10" s="21" t="n">
        <v>523.46</v>
      </c>
      <c r="J10" s="22" t="n">
        <v>6.1</v>
      </c>
      <c r="K10" s="21" t="n">
        <v>1358.94</v>
      </c>
      <c r="L10" s="23" t="n">
        <v>48</v>
      </c>
    </row>
    <row r="11" customFormat="false" ht="15" hidden="false" customHeight="false" outlineLevel="0" collapsed="false">
      <c r="A11" s="6" t="s">
        <v>367</v>
      </c>
      <c r="B11" s="6" t="s">
        <v>368</v>
      </c>
      <c r="C11" s="6" t="s">
        <v>369</v>
      </c>
      <c r="D11" s="6" t="s">
        <v>370</v>
      </c>
      <c r="E11" s="30" t="s">
        <v>121</v>
      </c>
      <c r="F11" s="16" t="n">
        <v>24606.85</v>
      </c>
      <c r="G11" s="16" t="n">
        <v>2617.77</v>
      </c>
      <c r="H11" s="17" t="n">
        <v>10.6</v>
      </c>
      <c r="I11" s="16" t="n">
        <v>502.18</v>
      </c>
      <c r="J11" s="17" t="n">
        <v>5.7</v>
      </c>
      <c r="K11" s="16" t="n">
        <v>1606.55</v>
      </c>
      <c r="L11" s="18" t="n">
        <v>49</v>
      </c>
    </row>
    <row r="12" customFormat="false" ht="15" hidden="false" customHeight="false" outlineLevel="0" collapsed="false">
      <c r="A12" s="20" t="s">
        <v>371</v>
      </c>
      <c r="B12" s="20" t="s">
        <v>372</v>
      </c>
      <c r="C12" s="20" t="s">
        <v>373</v>
      </c>
      <c r="D12" s="20" t="s">
        <v>370</v>
      </c>
      <c r="E12" s="32" t="s">
        <v>121</v>
      </c>
      <c r="F12" s="21" t="n">
        <v>21539.69</v>
      </c>
      <c r="G12" s="21" t="n">
        <v>2496.14</v>
      </c>
      <c r="H12" s="22" t="n">
        <v>11.6</v>
      </c>
      <c r="I12" s="21" t="n">
        <v>414.22</v>
      </c>
      <c r="J12" s="22" t="n">
        <v>3.4</v>
      </c>
      <c r="K12" s="21" t="n">
        <v>1785.04</v>
      </c>
      <c r="L12" s="23" t="n">
        <v>52</v>
      </c>
    </row>
    <row r="13" customFormat="false" ht="15" hidden="false" customHeight="false" outlineLevel="0" collapsed="false">
      <c r="A13" s="6" t="s">
        <v>374</v>
      </c>
      <c r="B13" s="6" t="s">
        <v>375</v>
      </c>
      <c r="C13" s="6" t="s">
        <v>366</v>
      </c>
      <c r="D13" s="6" t="s">
        <v>355</v>
      </c>
      <c r="E13" s="30" t="s">
        <v>121</v>
      </c>
      <c r="F13" s="16" t="n">
        <v>18423.27</v>
      </c>
      <c r="G13" s="16" t="n">
        <v>2198.51</v>
      </c>
      <c r="H13" s="17" t="n">
        <v>11.9</v>
      </c>
      <c r="I13" s="16" t="n">
        <v>400.51</v>
      </c>
      <c r="J13" s="17" t="n">
        <v>3.5</v>
      </c>
      <c r="K13" s="16" t="n">
        <v>1117.68</v>
      </c>
      <c r="L13" s="18" t="n">
        <v>46</v>
      </c>
    </row>
    <row r="14" customFormat="false" ht="15" hidden="false" customHeight="false" outlineLevel="0" collapsed="false">
      <c r="A14" s="20" t="s">
        <v>376</v>
      </c>
      <c r="B14" s="20" t="s">
        <v>377</v>
      </c>
      <c r="C14" s="20" t="s">
        <v>363</v>
      </c>
      <c r="D14" s="20" t="s">
        <v>351</v>
      </c>
      <c r="E14" s="32" t="s">
        <v>121</v>
      </c>
      <c r="F14" s="21" t="n">
        <v>17419.42</v>
      </c>
      <c r="G14" s="21" t="n">
        <v>2432.59</v>
      </c>
      <c r="H14" s="22" t="n">
        <v>14</v>
      </c>
      <c r="I14" s="21" t="n">
        <v>458.41</v>
      </c>
      <c r="J14" s="22" t="n">
        <v>3.2</v>
      </c>
      <c r="K14" s="21" t="n">
        <v>1124.09</v>
      </c>
      <c r="L14" s="23" t="n">
        <v>38</v>
      </c>
    </row>
    <row r="15" customFormat="false" ht="15" hidden="false" customHeight="false" outlineLevel="0" collapsed="false">
      <c r="A15" s="6" t="s">
        <v>378</v>
      </c>
      <c r="B15" s="6" t="s">
        <v>379</v>
      </c>
      <c r="C15" s="6" t="s">
        <v>360</v>
      </c>
      <c r="D15" s="6" t="s">
        <v>351</v>
      </c>
      <c r="E15" s="30" t="s">
        <v>121</v>
      </c>
      <c r="F15" s="16" t="n">
        <v>15944.61</v>
      </c>
      <c r="G15" s="16" t="n">
        <v>1939.24</v>
      </c>
      <c r="H15" s="17" t="n">
        <v>12.2</v>
      </c>
      <c r="I15" s="16" t="n">
        <v>531.49</v>
      </c>
      <c r="J15" s="17" t="n">
        <v>5.4</v>
      </c>
      <c r="K15" s="16" t="n">
        <v>993.08</v>
      </c>
      <c r="L15" s="18" t="n">
        <v>30</v>
      </c>
    </row>
    <row r="16" customFormat="false" ht="15" hidden="false" customHeight="false" outlineLevel="0" collapsed="false">
      <c r="A16" s="20" t="s">
        <v>380</v>
      </c>
      <c r="B16" s="20" t="s">
        <v>381</v>
      </c>
      <c r="C16" s="20" t="s">
        <v>350</v>
      </c>
      <c r="D16" s="20" t="s">
        <v>351</v>
      </c>
      <c r="E16" s="32" t="s">
        <v>121</v>
      </c>
      <c r="F16" s="21" t="n">
        <v>15490.07</v>
      </c>
      <c r="G16" s="21" t="n">
        <v>1670.32</v>
      </c>
      <c r="H16" s="22" t="n">
        <v>10.8</v>
      </c>
      <c r="I16" s="21" t="n">
        <v>645.42</v>
      </c>
      <c r="J16" s="22" t="n">
        <v>4.5</v>
      </c>
      <c r="K16" s="21" t="n">
        <v>968.24</v>
      </c>
      <c r="L16" s="23" t="n">
        <v>24</v>
      </c>
    </row>
    <row r="17" customFormat="false" ht="15" hidden="false" customHeight="false" outlineLevel="0" collapsed="false">
      <c r="A17" s="6" t="s">
        <v>382</v>
      </c>
      <c r="B17" s="6" t="s">
        <v>383</v>
      </c>
      <c r="C17" s="6" t="s">
        <v>363</v>
      </c>
      <c r="D17" s="6" t="s">
        <v>355</v>
      </c>
      <c r="E17" s="30" t="s">
        <v>121</v>
      </c>
      <c r="F17" s="16" t="n">
        <v>15469.04</v>
      </c>
      <c r="G17" s="16" t="n">
        <v>2417.8</v>
      </c>
      <c r="H17" s="17" t="n">
        <v>15.6</v>
      </c>
      <c r="I17" s="16" t="n">
        <v>594.96</v>
      </c>
      <c r="J17" s="17" t="n">
        <v>3.7</v>
      </c>
      <c r="K17" s="16" t="n">
        <v>885.85</v>
      </c>
      <c r="L17" s="18" t="n">
        <v>26</v>
      </c>
    </row>
    <row r="18" customFormat="false" ht="15" hidden="false" customHeight="false" outlineLevel="0" collapsed="false">
      <c r="A18" s="20" t="s">
        <v>384</v>
      </c>
      <c r="B18" s="20" t="s">
        <v>385</v>
      </c>
      <c r="C18" s="20" t="s">
        <v>354</v>
      </c>
      <c r="D18" s="20" t="s">
        <v>386</v>
      </c>
      <c r="E18" s="32" t="s">
        <v>121</v>
      </c>
      <c r="F18" s="21" t="n">
        <v>14584.01</v>
      </c>
      <c r="G18" s="21" t="n">
        <v>1767.98</v>
      </c>
      <c r="H18" s="22" t="n">
        <v>12.1</v>
      </c>
      <c r="I18" s="21" t="n">
        <v>441.94</v>
      </c>
      <c r="J18" s="22" t="n">
        <v>6</v>
      </c>
      <c r="K18" s="21" t="n">
        <v>1006.08</v>
      </c>
      <c r="L18" s="23" t="n">
        <v>33</v>
      </c>
    </row>
    <row r="19" customFormat="false" ht="15" hidden="false" customHeight="false" outlineLevel="0" collapsed="false">
      <c r="A19" s="6" t="s">
        <v>387</v>
      </c>
      <c r="B19" s="6" t="s">
        <v>388</v>
      </c>
      <c r="C19" s="6" t="s">
        <v>354</v>
      </c>
      <c r="D19" s="6" t="s">
        <v>351</v>
      </c>
      <c r="E19" s="30" t="s">
        <v>121</v>
      </c>
      <c r="F19" s="16" t="n">
        <v>14514.29</v>
      </c>
      <c r="G19" s="16" t="n">
        <v>1387.46</v>
      </c>
      <c r="H19" s="17" t="n">
        <v>9.6</v>
      </c>
      <c r="I19" s="16" t="n">
        <v>329.87</v>
      </c>
      <c r="J19" s="17" t="n">
        <v>3.4</v>
      </c>
      <c r="K19" s="16" t="n">
        <v>1317.63</v>
      </c>
      <c r="L19" s="18" t="n">
        <v>44</v>
      </c>
    </row>
    <row r="20" customFormat="false" ht="15" hidden="false" customHeight="false" outlineLevel="0" collapsed="false">
      <c r="A20" s="20" t="s">
        <v>389</v>
      </c>
      <c r="B20" s="20" t="s">
        <v>390</v>
      </c>
      <c r="C20" s="20" t="s">
        <v>363</v>
      </c>
      <c r="D20" s="20" t="s">
        <v>351</v>
      </c>
      <c r="E20" s="32" t="s">
        <v>121</v>
      </c>
      <c r="F20" s="21" t="n">
        <v>14325.41</v>
      </c>
      <c r="G20" s="21" t="n">
        <v>650.39</v>
      </c>
      <c r="H20" s="22" t="n">
        <v>4.5</v>
      </c>
      <c r="I20" s="21" t="n">
        <v>573.02</v>
      </c>
      <c r="J20" s="22" t="n">
        <v>7</v>
      </c>
      <c r="K20" s="21" t="n">
        <v>1288</v>
      </c>
      <c r="L20" s="23" t="n">
        <v>25</v>
      </c>
    </row>
    <row r="21" customFormat="false" ht="15" hidden="false" customHeight="false" outlineLevel="0" collapsed="false">
      <c r="A21" s="6" t="s">
        <v>391</v>
      </c>
      <c r="B21" s="6" t="s">
        <v>392</v>
      </c>
      <c r="C21" s="6" t="s">
        <v>393</v>
      </c>
      <c r="D21" s="6" t="s">
        <v>351</v>
      </c>
      <c r="E21" s="30" t="s">
        <v>121</v>
      </c>
      <c r="F21" s="16" t="n">
        <v>13812.74</v>
      </c>
      <c r="G21" s="16" t="n">
        <v>2131.66</v>
      </c>
      <c r="H21" s="17" t="n">
        <v>15.4</v>
      </c>
      <c r="I21" s="16" t="n">
        <v>627.85</v>
      </c>
      <c r="J21" s="17" t="n">
        <v>5.7</v>
      </c>
      <c r="K21" s="16" t="n">
        <v>645.86</v>
      </c>
      <c r="L21" s="18" t="n">
        <v>22</v>
      </c>
    </row>
    <row r="22" customFormat="false" ht="15" hidden="false" customHeight="false" outlineLevel="0" collapsed="false">
      <c r="A22" s="20" t="s">
        <v>394</v>
      </c>
      <c r="B22" s="20" t="s">
        <v>395</v>
      </c>
      <c r="C22" s="20" t="s">
        <v>393</v>
      </c>
      <c r="D22" s="20" t="s">
        <v>370</v>
      </c>
      <c r="E22" s="32" t="s">
        <v>121</v>
      </c>
      <c r="F22" s="21" t="n">
        <v>13650.29</v>
      </c>
      <c r="G22" s="21" t="n">
        <v>2276.87</v>
      </c>
      <c r="H22" s="22" t="n">
        <v>16.7</v>
      </c>
      <c r="I22" s="21" t="n">
        <v>650.01</v>
      </c>
      <c r="J22" s="22" t="n">
        <v>3.1</v>
      </c>
      <c r="K22" s="21" t="n">
        <v>481.85</v>
      </c>
      <c r="L22" s="23" t="n">
        <v>21</v>
      </c>
    </row>
    <row r="23" customFormat="false" ht="15" hidden="false" customHeight="false" outlineLevel="0" collapsed="false">
      <c r="A23" s="6" t="s">
        <v>396</v>
      </c>
      <c r="B23" s="6" t="s">
        <v>397</v>
      </c>
      <c r="C23" s="6" t="s">
        <v>350</v>
      </c>
      <c r="D23" s="6" t="s">
        <v>370</v>
      </c>
      <c r="E23" s="30" t="s">
        <v>121</v>
      </c>
      <c r="F23" s="16" t="n">
        <v>12928.43</v>
      </c>
      <c r="G23" s="16" t="n">
        <v>2164.36</v>
      </c>
      <c r="H23" s="17" t="n">
        <v>16.7</v>
      </c>
      <c r="I23" s="16" t="n">
        <v>587.66</v>
      </c>
      <c r="J23" s="17" t="n">
        <v>3.1</v>
      </c>
      <c r="K23" s="16" t="n">
        <v>741.4</v>
      </c>
      <c r="L23" s="18" t="n">
        <v>22</v>
      </c>
    </row>
    <row r="24" customFormat="false" ht="15" hidden="false" customHeight="false" outlineLevel="0" collapsed="false">
      <c r="A24" s="20" t="s">
        <v>398</v>
      </c>
      <c r="B24" s="20" t="s">
        <v>399</v>
      </c>
      <c r="C24" s="20" t="s">
        <v>363</v>
      </c>
      <c r="D24" s="20" t="s">
        <v>351</v>
      </c>
      <c r="E24" s="32" t="s">
        <v>121</v>
      </c>
      <c r="F24" s="21" t="n">
        <v>12664.96</v>
      </c>
      <c r="G24" s="21" t="n">
        <v>1954.21</v>
      </c>
      <c r="H24" s="22" t="n">
        <v>15.4</v>
      </c>
      <c r="I24" s="21" t="n">
        <v>487.11</v>
      </c>
      <c r="J24" s="22" t="n">
        <v>3.5</v>
      </c>
      <c r="K24" s="21" t="n">
        <v>820.75</v>
      </c>
      <c r="L24" s="23" t="n">
        <v>26</v>
      </c>
    </row>
    <row r="25" customFormat="false" ht="15" hidden="false" customHeight="false" outlineLevel="0" collapsed="false">
      <c r="A25" s="6" t="s">
        <v>400</v>
      </c>
      <c r="B25" s="6" t="s">
        <v>401</v>
      </c>
      <c r="C25" s="6" t="s">
        <v>393</v>
      </c>
      <c r="D25" s="6" t="s">
        <v>370</v>
      </c>
      <c r="E25" s="30" t="s">
        <v>121</v>
      </c>
      <c r="F25" s="16" t="n">
        <v>12093.63</v>
      </c>
      <c r="G25" s="16" t="n">
        <v>819.12</v>
      </c>
      <c r="H25" s="17" t="n">
        <v>6.8</v>
      </c>
      <c r="I25" s="16" t="n">
        <v>575.89</v>
      </c>
      <c r="J25" s="17" t="n">
        <v>7.6</v>
      </c>
      <c r="K25" s="16" t="n">
        <v>1135.28</v>
      </c>
      <c r="L25" s="18" t="n">
        <v>21</v>
      </c>
    </row>
    <row r="26" customFormat="false" ht="15" hidden="false" customHeight="false" outlineLevel="0" collapsed="false">
      <c r="A26" s="20" t="s">
        <v>402</v>
      </c>
      <c r="B26" s="20" t="s">
        <v>403</v>
      </c>
      <c r="C26" s="20" t="s">
        <v>363</v>
      </c>
      <c r="D26" s="20" t="s">
        <v>386</v>
      </c>
      <c r="E26" s="32" t="s">
        <v>121</v>
      </c>
      <c r="F26" s="21" t="n">
        <v>11157.24</v>
      </c>
      <c r="G26" s="21" t="n">
        <v>772.54</v>
      </c>
      <c r="H26" s="22" t="n">
        <v>6.9</v>
      </c>
      <c r="I26" s="21" t="n">
        <v>464.88</v>
      </c>
      <c r="J26" s="22" t="n">
        <v>5.3</v>
      </c>
      <c r="K26" s="21" t="n">
        <v>905.05</v>
      </c>
      <c r="L26" s="23" t="n">
        <v>24</v>
      </c>
    </row>
    <row r="27" customFormat="false" ht="15" hidden="false" customHeight="false" outlineLevel="0" collapsed="false">
      <c r="A27" s="6" t="s">
        <v>404</v>
      </c>
      <c r="B27" s="6" t="s">
        <v>405</v>
      </c>
      <c r="C27" s="6" t="s">
        <v>373</v>
      </c>
      <c r="D27" s="6" t="s">
        <v>386</v>
      </c>
      <c r="E27" s="30" t="s">
        <v>121</v>
      </c>
      <c r="F27" s="16" t="n">
        <v>11128.39</v>
      </c>
      <c r="G27" s="16" t="n">
        <v>2197.14</v>
      </c>
      <c r="H27" s="17" t="n">
        <v>19.7</v>
      </c>
      <c r="I27" s="16" t="n">
        <v>794.88</v>
      </c>
      <c r="J27" s="17" t="n">
        <v>2.5</v>
      </c>
      <c r="K27" s="16" t="n">
        <v>475.28</v>
      </c>
      <c r="L27" s="18" t="n">
        <v>14</v>
      </c>
    </row>
    <row r="28" customFormat="false" ht="15" hidden="false" customHeight="false" outlineLevel="0" collapsed="false">
      <c r="A28" s="20" t="s">
        <v>406</v>
      </c>
      <c r="B28" s="20" t="s">
        <v>407</v>
      </c>
      <c r="C28" s="20" t="s">
        <v>360</v>
      </c>
      <c r="D28" s="20" t="s">
        <v>386</v>
      </c>
      <c r="E28" s="32" t="s">
        <v>121</v>
      </c>
      <c r="F28" s="21" t="n">
        <v>11029.37</v>
      </c>
      <c r="G28" s="21" t="n">
        <v>976.19</v>
      </c>
      <c r="H28" s="22" t="n">
        <v>8.9</v>
      </c>
      <c r="I28" s="21" t="n">
        <v>551.47</v>
      </c>
      <c r="J28" s="22" t="n">
        <v>5.3</v>
      </c>
      <c r="K28" s="21" t="n">
        <v>688.43</v>
      </c>
      <c r="L28" s="23" t="n">
        <v>20</v>
      </c>
    </row>
    <row r="29" customFormat="false" ht="15" hidden="false" customHeight="false" outlineLevel="0" collapsed="false">
      <c r="A29" s="6" t="s">
        <v>408</v>
      </c>
      <c r="B29" s="6" t="s">
        <v>409</v>
      </c>
      <c r="C29" s="6" t="s">
        <v>393</v>
      </c>
      <c r="D29" s="6" t="s">
        <v>386</v>
      </c>
      <c r="E29" s="30" t="s">
        <v>121</v>
      </c>
      <c r="F29" s="16" t="n">
        <v>10618.91</v>
      </c>
      <c r="G29" s="16" t="n">
        <v>1800.87</v>
      </c>
      <c r="H29" s="17" t="n">
        <v>17</v>
      </c>
      <c r="I29" s="16" t="n">
        <v>530.95</v>
      </c>
      <c r="J29" s="17" t="n">
        <v>3.4</v>
      </c>
      <c r="K29" s="16" t="n">
        <v>680.31</v>
      </c>
      <c r="L29" s="18" t="n">
        <v>20</v>
      </c>
    </row>
    <row r="30" customFormat="false" ht="15" hidden="false" customHeight="false" outlineLevel="0" collapsed="false">
      <c r="A30" s="20" t="s">
        <v>410</v>
      </c>
      <c r="B30" s="20" t="s">
        <v>411</v>
      </c>
      <c r="C30" s="20" t="s">
        <v>393</v>
      </c>
      <c r="D30" s="20" t="s">
        <v>355</v>
      </c>
      <c r="E30" s="32" t="s">
        <v>121</v>
      </c>
      <c r="F30" s="21" t="n">
        <v>10219.65</v>
      </c>
      <c r="G30" s="21" t="n">
        <v>1174.84</v>
      </c>
      <c r="H30" s="22" t="n">
        <v>11.5</v>
      </c>
      <c r="I30" s="21" t="n">
        <v>638.73</v>
      </c>
      <c r="J30" s="22" t="n">
        <v>6.5</v>
      </c>
      <c r="K30" s="21" t="n">
        <v>551.5</v>
      </c>
      <c r="L30" s="23" t="n">
        <v>16</v>
      </c>
    </row>
    <row r="31" customFormat="false" ht="15" hidden="false" customHeight="false" outlineLevel="0" collapsed="false">
      <c r="A31" s="6" t="s">
        <v>412</v>
      </c>
      <c r="B31" s="6" t="s">
        <v>413</v>
      </c>
      <c r="C31" s="6" t="s">
        <v>363</v>
      </c>
      <c r="D31" s="6" t="s">
        <v>351</v>
      </c>
      <c r="E31" s="30" t="s">
        <v>121</v>
      </c>
      <c r="F31" s="16" t="n">
        <v>10185.02</v>
      </c>
      <c r="G31" s="16" t="n">
        <v>1036.79</v>
      </c>
      <c r="H31" s="17" t="n">
        <v>10.2</v>
      </c>
      <c r="I31" s="16" t="n">
        <v>536.05</v>
      </c>
      <c r="J31" s="17" t="n">
        <v>6.5</v>
      </c>
      <c r="K31" s="16" t="n">
        <v>658.02</v>
      </c>
      <c r="L31" s="18" t="n">
        <v>19</v>
      </c>
    </row>
    <row r="32" customFormat="false" ht="15" hidden="false" customHeight="false" outlineLevel="0" collapsed="false">
      <c r="A32" s="20" t="s">
        <v>414</v>
      </c>
      <c r="B32" s="20" t="s">
        <v>415</v>
      </c>
      <c r="C32" s="20" t="s">
        <v>373</v>
      </c>
      <c r="D32" s="20" t="s">
        <v>370</v>
      </c>
      <c r="E32" s="32" t="s">
        <v>121</v>
      </c>
      <c r="F32" s="21" t="n">
        <v>10071.41</v>
      </c>
      <c r="G32" s="21" t="n">
        <v>693.17</v>
      </c>
      <c r="H32" s="22" t="n">
        <v>6.9</v>
      </c>
      <c r="I32" s="21" t="n">
        <v>530.07</v>
      </c>
      <c r="J32" s="22" t="n">
        <v>5.6</v>
      </c>
      <c r="K32" s="21" t="n">
        <v>685.33</v>
      </c>
      <c r="L32" s="23" t="n">
        <v>19</v>
      </c>
    </row>
    <row r="33" customFormat="false" ht="15" hidden="false" customHeight="false" outlineLevel="0" collapsed="false">
      <c r="A33" s="6" t="s">
        <v>416</v>
      </c>
      <c r="B33" s="6" t="s">
        <v>417</v>
      </c>
      <c r="C33" s="6" t="s">
        <v>363</v>
      </c>
      <c r="D33" s="6" t="s">
        <v>351</v>
      </c>
      <c r="E33" s="30" t="s">
        <v>121</v>
      </c>
      <c r="F33" s="16" t="n">
        <v>9881.32</v>
      </c>
      <c r="G33" s="16" t="n">
        <v>1870.26</v>
      </c>
      <c r="H33" s="17" t="n">
        <v>18.9</v>
      </c>
      <c r="I33" s="16" t="n">
        <v>520.07</v>
      </c>
      <c r="J33" s="17" t="n">
        <v>2.7</v>
      </c>
      <c r="K33" s="16" t="n">
        <v>470.92</v>
      </c>
      <c r="L33" s="18" t="n">
        <v>19</v>
      </c>
    </row>
    <row r="34" customFormat="false" ht="15" hidden="false" customHeight="false" outlineLevel="0" collapsed="false">
      <c r="A34" s="20" t="s">
        <v>418</v>
      </c>
      <c r="B34" s="20" t="s">
        <v>419</v>
      </c>
      <c r="C34" s="20" t="s">
        <v>350</v>
      </c>
      <c r="D34" s="20" t="s">
        <v>386</v>
      </c>
      <c r="E34" s="32" t="s">
        <v>121</v>
      </c>
      <c r="F34" s="21" t="n">
        <v>9801.95</v>
      </c>
      <c r="G34" s="21" t="n">
        <v>1591.89</v>
      </c>
      <c r="H34" s="22" t="n">
        <v>16.2</v>
      </c>
      <c r="I34" s="21" t="n">
        <v>612.62</v>
      </c>
      <c r="J34" s="22" t="n">
        <v>2.9</v>
      </c>
      <c r="K34" s="21" t="n">
        <v>627.32</v>
      </c>
      <c r="L34" s="23" t="n">
        <v>16</v>
      </c>
    </row>
    <row r="35" customFormat="false" ht="15" hidden="false" customHeight="false" outlineLevel="0" collapsed="false">
      <c r="A35" s="6" t="s">
        <v>420</v>
      </c>
      <c r="B35" s="6" t="s">
        <v>421</v>
      </c>
      <c r="C35" s="6" t="s">
        <v>360</v>
      </c>
      <c r="D35" s="6" t="s">
        <v>351</v>
      </c>
      <c r="E35" s="30" t="s">
        <v>121</v>
      </c>
      <c r="F35" s="16" t="n">
        <v>9575.53</v>
      </c>
      <c r="G35" s="16" t="n">
        <v>1725.4</v>
      </c>
      <c r="H35" s="17" t="n">
        <v>18</v>
      </c>
      <c r="I35" s="16" t="n">
        <v>638.37</v>
      </c>
      <c r="J35" s="17" t="n">
        <v>2.5</v>
      </c>
      <c r="K35" s="16" t="n">
        <v>511.54</v>
      </c>
      <c r="L35" s="18" t="n">
        <v>15</v>
      </c>
    </row>
    <row r="36" customFormat="false" ht="15" hidden="false" customHeight="false" outlineLevel="0" collapsed="false">
      <c r="A36" s="20" t="s">
        <v>422</v>
      </c>
      <c r="B36" s="20" t="s">
        <v>423</v>
      </c>
      <c r="C36" s="20" t="s">
        <v>350</v>
      </c>
      <c r="D36" s="20" t="s">
        <v>370</v>
      </c>
      <c r="E36" s="32" t="s">
        <v>121</v>
      </c>
      <c r="F36" s="21" t="n">
        <v>9113.42</v>
      </c>
      <c r="G36" s="21" t="n">
        <v>1414.54</v>
      </c>
      <c r="H36" s="22" t="n">
        <v>15.5</v>
      </c>
      <c r="I36" s="21" t="n">
        <v>828.49</v>
      </c>
      <c r="J36" s="22" t="n">
        <v>3.8</v>
      </c>
      <c r="K36" s="21" t="n">
        <v>554.9</v>
      </c>
      <c r="L36" s="23" t="n">
        <v>11</v>
      </c>
    </row>
    <row r="37" customFormat="false" ht="15" hidden="false" customHeight="false" outlineLevel="0" collapsed="false">
      <c r="A37" s="6" t="s">
        <v>424</v>
      </c>
      <c r="B37" s="6" t="s">
        <v>425</v>
      </c>
      <c r="C37" s="6" t="s">
        <v>363</v>
      </c>
      <c r="D37" s="6" t="s">
        <v>351</v>
      </c>
      <c r="E37" s="30" t="s">
        <v>121</v>
      </c>
      <c r="F37" s="16" t="n">
        <v>8991.8</v>
      </c>
      <c r="G37" s="16" t="n">
        <v>374.78</v>
      </c>
      <c r="H37" s="17" t="n">
        <v>4.2</v>
      </c>
      <c r="I37" s="16" t="n">
        <v>599.45</v>
      </c>
      <c r="J37" s="17" t="n">
        <v>5.9</v>
      </c>
      <c r="K37" s="16" t="n">
        <v>358.3</v>
      </c>
      <c r="L37" s="18" t="n">
        <v>15</v>
      </c>
    </row>
    <row r="38" customFormat="false" ht="15" hidden="false" customHeight="false" outlineLevel="0" collapsed="false">
      <c r="A38" s="20" t="s">
        <v>426</v>
      </c>
      <c r="B38" s="20" t="s">
        <v>427</v>
      </c>
      <c r="C38" s="20" t="s">
        <v>369</v>
      </c>
      <c r="D38" s="20" t="s">
        <v>351</v>
      </c>
      <c r="E38" s="32" t="s">
        <v>121</v>
      </c>
      <c r="F38" s="21" t="n">
        <v>8311.55</v>
      </c>
      <c r="G38" s="21" t="n">
        <v>1633.75</v>
      </c>
      <c r="H38" s="22" t="n">
        <v>19.7</v>
      </c>
      <c r="I38" s="21" t="n">
        <v>692.63</v>
      </c>
      <c r="J38" s="22" t="n">
        <v>5.3</v>
      </c>
      <c r="K38" s="21" t="n">
        <v>315.11</v>
      </c>
      <c r="L38" s="23" t="n">
        <v>12</v>
      </c>
    </row>
    <row r="39" customFormat="false" ht="15" hidden="false" customHeight="false" outlineLevel="0" collapsed="false">
      <c r="A39" s="6" t="s">
        <v>428</v>
      </c>
      <c r="B39" s="6" t="s">
        <v>429</v>
      </c>
      <c r="C39" s="6" t="s">
        <v>373</v>
      </c>
      <c r="D39" s="6" t="s">
        <v>351</v>
      </c>
      <c r="E39" s="30" t="s">
        <v>121</v>
      </c>
      <c r="F39" s="16" t="n">
        <v>8277.91</v>
      </c>
      <c r="G39" s="16" t="n">
        <v>1655.01</v>
      </c>
      <c r="H39" s="17" t="n">
        <v>20</v>
      </c>
      <c r="I39" s="16" t="n">
        <v>413.9</v>
      </c>
      <c r="J39" s="17" t="n">
        <v>2.8</v>
      </c>
      <c r="K39" s="16" t="n">
        <v>555.81</v>
      </c>
      <c r="L39" s="18" t="n">
        <v>20</v>
      </c>
    </row>
    <row r="40" customFormat="false" ht="15" hidden="false" customHeight="false" outlineLevel="0" collapsed="false">
      <c r="A40" s="20" t="s">
        <v>430</v>
      </c>
      <c r="B40" s="20" t="s">
        <v>431</v>
      </c>
      <c r="C40" s="20" t="s">
        <v>360</v>
      </c>
      <c r="D40" s="20" t="s">
        <v>370</v>
      </c>
      <c r="E40" s="32" t="s">
        <v>121</v>
      </c>
      <c r="F40" s="21" t="n">
        <v>8255.15</v>
      </c>
      <c r="G40" s="21" t="n">
        <v>1114.28</v>
      </c>
      <c r="H40" s="22" t="n">
        <v>13.5</v>
      </c>
      <c r="I40" s="21" t="n">
        <v>485.6</v>
      </c>
      <c r="J40" s="22" t="n">
        <v>3.5</v>
      </c>
      <c r="K40" s="21" t="n">
        <v>587.55</v>
      </c>
      <c r="L40" s="23" t="n">
        <v>17</v>
      </c>
    </row>
    <row r="41" customFormat="false" ht="15" hidden="false" customHeight="false" outlineLevel="0" collapsed="false">
      <c r="A41" s="6" t="s">
        <v>432</v>
      </c>
      <c r="B41" s="6" t="s">
        <v>433</v>
      </c>
      <c r="C41" s="6" t="s">
        <v>350</v>
      </c>
      <c r="D41" s="6" t="s">
        <v>351</v>
      </c>
      <c r="E41" s="30" t="s">
        <v>121</v>
      </c>
      <c r="F41" s="16" t="n">
        <v>7768.84</v>
      </c>
      <c r="G41" s="16" t="n">
        <v>729.95</v>
      </c>
      <c r="H41" s="17" t="n">
        <v>9.4</v>
      </c>
      <c r="I41" s="16" t="n">
        <v>647.4</v>
      </c>
      <c r="J41" s="17" t="n">
        <v>3.9</v>
      </c>
      <c r="K41" s="16" t="n">
        <v>454.28</v>
      </c>
      <c r="L41" s="18" t="n">
        <v>12</v>
      </c>
    </row>
    <row r="42" customFormat="false" ht="15" hidden="false" customHeight="false" outlineLevel="0" collapsed="false">
      <c r="A42" s="20" t="s">
        <v>434</v>
      </c>
      <c r="B42" s="20" t="s">
        <v>435</v>
      </c>
      <c r="C42" s="20" t="s">
        <v>369</v>
      </c>
      <c r="D42" s="20" t="s">
        <v>355</v>
      </c>
      <c r="E42" s="32" t="s">
        <v>121</v>
      </c>
      <c r="F42" s="21" t="n">
        <v>7699.1</v>
      </c>
      <c r="G42" s="21" t="n">
        <v>661.98</v>
      </c>
      <c r="H42" s="22" t="n">
        <v>8.6</v>
      </c>
      <c r="I42" s="21" t="n">
        <v>699.92</v>
      </c>
      <c r="J42" s="22" t="n">
        <v>6.4</v>
      </c>
      <c r="K42" s="21" t="n">
        <v>341.88</v>
      </c>
      <c r="L42" s="23" t="n">
        <v>11</v>
      </c>
    </row>
    <row r="43" customFormat="false" ht="15" hidden="false" customHeight="false" outlineLevel="0" collapsed="false">
      <c r="A43" s="6" t="s">
        <v>436</v>
      </c>
      <c r="B43" s="6" t="s">
        <v>437</v>
      </c>
      <c r="C43" s="6" t="s">
        <v>393</v>
      </c>
      <c r="D43" s="6" t="s">
        <v>386</v>
      </c>
      <c r="E43" s="30" t="s">
        <v>121</v>
      </c>
      <c r="F43" s="16" t="n">
        <v>7568.33</v>
      </c>
      <c r="G43" s="16" t="n">
        <v>1568.49</v>
      </c>
      <c r="H43" s="17" t="n">
        <v>20.7</v>
      </c>
      <c r="I43" s="16" t="n">
        <v>504.56</v>
      </c>
      <c r="J43" s="17" t="n">
        <v>3.2</v>
      </c>
      <c r="K43" s="16" t="n">
        <v>347.26</v>
      </c>
      <c r="L43" s="18" t="n">
        <v>15</v>
      </c>
    </row>
    <row r="44" customFormat="false" ht="15" hidden="false" customHeight="false" outlineLevel="0" collapsed="false">
      <c r="A44" s="20" t="s">
        <v>438</v>
      </c>
      <c r="B44" s="20" t="s">
        <v>439</v>
      </c>
      <c r="C44" s="20" t="s">
        <v>369</v>
      </c>
      <c r="D44" s="20" t="s">
        <v>355</v>
      </c>
      <c r="E44" s="32" t="s">
        <v>121</v>
      </c>
      <c r="F44" s="21" t="n">
        <v>7257.71</v>
      </c>
      <c r="G44" s="21" t="n">
        <v>1382.27</v>
      </c>
      <c r="H44" s="22" t="n">
        <v>19</v>
      </c>
      <c r="I44" s="21" t="n">
        <v>1451.54</v>
      </c>
      <c r="J44" s="22" t="n">
        <v>3</v>
      </c>
      <c r="K44" s="21" t="n">
        <v>222.52</v>
      </c>
      <c r="L44" s="23" t="n">
        <v>5</v>
      </c>
    </row>
    <row r="45" customFormat="false" ht="15" hidden="false" customHeight="false" outlineLevel="0" collapsed="false">
      <c r="A45" s="6" t="s">
        <v>440</v>
      </c>
      <c r="B45" s="6" t="s">
        <v>441</v>
      </c>
      <c r="C45" s="6" t="s">
        <v>363</v>
      </c>
      <c r="D45" s="6" t="s">
        <v>351</v>
      </c>
      <c r="E45" s="30" t="s">
        <v>121</v>
      </c>
      <c r="F45" s="16" t="n">
        <v>7227.75</v>
      </c>
      <c r="G45" s="16" t="n">
        <v>1510.92</v>
      </c>
      <c r="H45" s="17" t="n">
        <v>20.9</v>
      </c>
      <c r="I45" s="16" t="n">
        <v>657.07</v>
      </c>
      <c r="J45" s="17" t="n">
        <v>3.4</v>
      </c>
      <c r="K45" s="16" t="n">
        <v>366.04</v>
      </c>
      <c r="L45" s="18" t="n">
        <v>11</v>
      </c>
    </row>
    <row r="46" customFormat="false" ht="15" hidden="false" customHeight="false" outlineLevel="0" collapsed="false">
      <c r="A46" s="20" t="s">
        <v>442</v>
      </c>
      <c r="B46" s="20" t="s">
        <v>443</v>
      </c>
      <c r="C46" s="20" t="s">
        <v>350</v>
      </c>
      <c r="D46" s="20" t="s">
        <v>386</v>
      </c>
      <c r="E46" s="32" t="s">
        <v>121</v>
      </c>
      <c r="F46" s="21" t="n">
        <v>6865.45</v>
      </c>
      <c r="G46" s="21" t="n">
        <v>1058.87</v>
      </c>
      <c r="H46" s="22" t="n">
        <v>15.4</v>
      </c>
      <c r="I46" s="21" t="n">
        <v>686.54</v>
      </c>
      <c r="J46" s="22" t="n">
        <v>3.4</v>
      </c>
      <c r="K46" s="21" t="n">
        <v>396.6</v>
      </c>
      <c r="L46" s="23" t="n">
        <v>10</v>
      </c>
    </row>
    <row r="47" customFormat="false" ht="15" hidden="false" customHeight="false" outlineLevel="0" collapsed="false">
      <c r="A47" s="6" t="s">
        <v>444</v>
      </c>
      <c r="B47" s="6" t="s">
        <v>445</v>
      </c>
      <c r="C47" s="6" t="s">
        <v>369</v>
      </c>
      <c r="D47" s="6" t="s">
        <v>370</v>
      </c>
      <c r="E47" s="30" t="s">
        <v>224</v>
      </c>
      <c r="F47" s="16" t="n">
        <v>6767.34</v>
      </c>
      <c r="G47" s="16" t="n">
        <v>223.04</v>
      </c>
      <c r="H47" s="17" t="n">
        <v>3.3</v>
      </c>
      <c r="I47" s="16" t="n">
        <v>563.95</v>
      </c>
      <c r="J47" s="17" t="n">
        <v>8.4</v>
      </c>
      <c r="K47" s="16" t="n">
        <v>362.34</v>
      </c>
      <c r="L47" s="18" t="n">
        <v>12</v>
      </c>
    </row>
    <row r="48" customFormat="false" ht="15" hidden="false" customHeight="false" outlineLevel="0" collapsed="false">
      <c r="A48" s="20" t="s">
        <v>446</v>
      </c>
      <c r="B48" s="20" t="s">
        <v>447</v>
      </c>
      <c r="C48" s="20" t="s">
        <v>373</v>
      </c>
      <c r="D48" s="20" t="s">
        <v>355</v>
      </c>
      <c r="E48" s="32" t="s">
        <v>224</v>
      </c>
      <c r="F48" s="21" t="n">
        <v>6731.37</v>
      </c>
      <c r="G48" s="21" t="n">
        <v>1519.38</v>
      </c>
      <c r="H48" s="22" t="n">
        <v>22.6</v>
      </c>
      <c r="I48" s="21" t="n">
        <v>611.94</v>
      </c>
      <c r="J48" s="22" t="n">
        <v>2.5</v>
      </c>
      <c r="K48" s="21" t="n">
        <v>325.21</v>
      </c>
      <c r="L48" s="23" t="n">
        <v>11</v>
      </c>
    </row>
    <row r="49" customFormat="false" ht="15" hidden="false" customHeight="false" outlineLevel="0" collapsed="false">
      <c r="A49" s="6" t="s">
        <v>448</v>
      </c>
      <c r="B49" s="6" t="s">
        <v>449</v>
      </c>
      <c r="C49" s="6" t="s">
        <v>354</v>
      </c>
      <c r="D49" s="6" t="s">
        <v>386</v>
      </c>
      <c r="E49" s="30" t="s">
        <v>224</v>
      </c>
      <c r="F49" s="16" t="n">
        <v>6431.14</v>
      </c>
      <c r="G49" s="16" t="n">
        <v>-347.7</v>
      </c>
      <c r="H49" s="17" t="n">
        <v>-5.4</v>
      </c>
      <c r="I49" s="16" t="n">
        <v>494.7</v>
      </c>
      <c r="J49" s="17" t="n">
        <v>7.5</v>
      </c>
      <c r="K49" s="16" t="n">
        <v>440.98</v>
      </c>
      <c r="L49" s="18" t="n">
        <v>13</v>
      </c>
    </row>
    <row r="50" customFormat="false" ht="15" hidden="false" customHeight="false" outlineLevel="0" collapsed="false">
      <c r="A50" s="20" t="s">
        <v>450</v>
      </c>
      <c r="B50" s="20" t="s">
        <v>451</v>
      </c>
      <c r="C50" s="20" t="s">
        <v>363</v>
      </c>
      <c r="D50" s="20" t="s">
        <v>370</v>
      </c>
      <c r="E50" s="32" t="s">
        <v>224</v>
      </c>
      <c r="F50" s="21" t="n">
        <v>6414.51</v>
      </c>
      <c r="G50" s="21" t="n">
        <v>933.19</v>
      </c>
      <c r="H50" s="22" t="n">
        <v>14.5</v>
      </c>
      <c r="I50" s="21" t="n">
        <v>337.61</v>
      </c>
      <c r="J50" s="22" t="n">
        <v>2.9</v>
      </c>
      <c r="K50" s="21" t="n">
        <v>387.86</v>
      </c>
      <c r="L50" s="23" t="n">
        <v>19</v>
      </c>
    </row>
    <row r="51" customFormat="false" ht="15" hidden="false" customHeight="false" outlineLevel="0" collapsed="false">
      <c r="A51" s="6" t="s">
        <v>452</v>
      </c>
      <c r="B51" s="6" t="s">
        <v>453</v>
      </c>
      <c r="C51" s="6" t="s">
        <v>360</v>
      </c>
      <c r="D51" s="6" t="s">
        <v>386</v>
      </c>
      <c r="E51" s="30" t="s">
        <v>224</v>
      </c>
      <c r="F51" s="16" t="n">
        <v>6226.49</v>
      </c>
      <c r="G51" s="16" t="n">
        <v>1092.63</v>
      </c>
      <c r="H51" s="17" t="n">
        <v>17.5</v>
      </c>
      <c r="I51" s="16" t="n">
        <v>622.65</v>
      </c>
      <c r="J51" s="17" t="n">
        <v>3</v>
      </c>
      <c r="K51" s="16" t="n">
        <v>372.95</v>
      </c>
      <c r="L51" s="18" t="n">
        <v>10</v>
      </c>
    </row>
    <row r="52" customFormat="false" ht="15" hidden="false" customHeight="false" outlineLevel="0" collapsed="false">
      <c r="A52" s="20" t="s">
        <v>454</v>
      </c>
      <c r="B52" s="20" t="s">
        <v>455</v>
      </c>
      <c r="C52" s="20" t="s">
        <v>363</v>
      </c>
      <c r="D52" s="20" t="s">
        <v>386</v>
      </c>
      <c r="E52" s="32" t="s">
        <v>224</v>
      </c>
      <c r="F52" s="21" t="n">
        <v>6220.09</v>
      </c>
      <c r="G52" s="21" t="n">
        <v>974.98</v>
      </c>
      <c r="H52" s="22" t="n">
        <v>15.7</v>
      </c>
      <c r="I52" s="21" t="n">
        <v>518.34</v>
      </c>
      <c r="J52" s="22" t="n">
        <v>3.6</v>
      </c>
      <c r="K52" s="21" t="n">
        <v>528.26</v>
      </c>
      <c r="L52" s="23" t="n">
        <v>12</v>
      </c>
    </row>
    <row r="53" customFormat="false" ht="15" hidden="false" customHeight="false" outlineLevel="0" collapsed="false">
      <c r="A53" s="6" t="s">
        <v>456</v>
      </c>
      <c r="B53" s="6" t="s">
        <v>457</v>
      </c>
      <c r="C53" s="6" t="s">
        <v>366</v>
      </c>
      <c r="D53" s="6" t="s">
        <v>370</v>
      </c>
      <c r="E53" s="30" t="s">
        <v>224</v>
      </c>
      <c r="F53" s="16" t="n">
        <v>5859.11</v>
      </c>
      <c r="G53" s="16" t="n">
        <v>844.45</v>
      </c>
      <c r="H53" s="17" t="n">
        <v>14.4</v>
      </c>
      <c r="I53" s="16" t="n">
        <v>532.65</v>
      </c>
      <c r="J53" s="17" t="n">
        <v>2.9</v>
      </c>
      <c r="K53" s="16" t="n">
        <v>425.46</v>
      </c>
      <c r="L53" s="18" t="n">
        <v>11</v>
      </c>
    </row>
    <row r="54" customFormat="false" ht="15" hidden="false" customHeight="false" outlineLevel="0" collapsed="false">
      <c r="A54" s="20" t="s">
        <v>458</v>
      </c>
      <c r="B54" s="20" t="s">
        <v>459</v>
      </c>
      <c r="C54" s="20" t="s">
        <v>350</v>
      </c>
      <c r="D54" s="20" t="s">
        <v>351</v>
      </c>
      <c r="E54" s="32" t="s">
        <v>224</v>
      </c>
      <c r="F54" s="21" t="n">
        <v>5622.46</v>
      </c>
      <c r="G54" s="21" t="n">
        <v>1043.87</v>
      </c>
      <c r="H54" s="22" t="n">
        <v>18.6</v>
      </c>
      <c r="I54" s="21" t="n">
        <v>624.72</v>
      </c>
      <c r="J54" s="22" t="n">
        <v>3</v>
      </c>
      <c r="K54" s="21" t="n">
        <v>281.02</v>
      </c>
      <c r="L54" s="23" t="n">
        <v>9</v>
      </c>
    </row>
    <row r="55" customFormat="false" ht="15" hidden="false" customHeight="false" outlineLevel="0" collapsed="false">
      <c r="A55" s="6" t="s">
        <v>460</v>
      </c>
      <c r="B55" s="6" t="s">
        <v>461</v>
      </c>
      <c r="C55" s="6" t="s">
        <v>393</v>
      </c>
      <c r="D55" s="6" t="s">
        <v>351</v>
      </c>
      <c r="E55" s="30" t="s">
        <v>224</v>
      </c>
      <c r="F55" s="16" t="n">
        <v>5555.77</v>
      </c>
      <c r="G55" s="16" t="n">
        <v>917.24</v>
      </c>
      <c r="H55" s="17" t="n">
        <v>16.5</v>
      </c>
      <c r="I55" s="16" t="n">
        <v>370.38</v>
      </c>
      <c r="J55" s="17" t="n">
        <v>2.5</v>
      </c>
      <c r="K55" s="16" t="n">
        <v>427.35</v>
      </c>
      <c r="L55" s="18" t="n">
        <v>15</v>
      </c>
    </row>
    <row r="56" customFormat="false" ht="15" hidden="false" customHeight="false" outlineLevel="0" collapsed="false">
      <c r="A56" s="20" t="s">
        <v>462</v>
      </c>
      <c r="B56" s="20" t="s">
        <v>463</v>
      </c>
      <c r="C56" s="20" t="s">
        <v>366</v>
      </c>
      <c r="D56" s="20" t="s">
        <v>370</v>
      </c>
      <c r="E56" s="32" t="s">
        <v>224</v>
      </c>
      <c r="F56" s="21" t="n">
        <v>5549.08</v>
      </c>
      <c r="G56" s="21" t="n">
        <v>1406.53</v>
      </c>
      <c r="H56" s="22" t="n">
        <v>25.3</v>
      </c>
      <c r="I56" s="21" t="n">
        <v>504.46</v>
      </c>
      <c r="J56" s="22" t="n">
        <v>2.7</v>
      </c>
      <c r="K56" s="21" t="n">
        <v>349.67</v>
      </c>
      <c r="L56" s="23" t="n">
        <v>11</v>
      </c>
    </row>
    <row r="57" customFormat="false" ht="15" hidden="false" customHeight="false" outlineLevel="0" collapsed="false">
      <c r="A57" s="6" t="s">
        <v>464</v>
      </c>
      <c r="B57" s="6" t="s">
        <v>465</v>
      </c>
      <c r="C57" s="6" t="s">
        <v>366</v>
      </c>
      <c r="D57" s="6" t="s">
        <v>355</v>
      </c>
      <c r="E57" s="30" t="s">
        <v>224</v>
      </c>
      <c r="F57" s="16" t="n">
        <v>5432.02</v>
      </c>
      <c r="G57" s="16" t="n">
        <v>818.99</v>
      </c>
      <c r="H57" s="17" t="n">
        <v>15.1</v>
      </c>
      <c r="I57" s="16" t="n">
        <v>452.67</v>
      </c>
      <c r="J57" s="17" t="n">
        <v>3.3</v>
      </c>
      <c r="K57" s="16" t="n">
        <v>389.81</v>
      </c>
      <c r="L57" s="18" t="n">
        <v>12</v>
      </c>
    </row>
    <row r="58" customFormat="false" ht="15" hidden="false" customHeight="false" outlineLevel="0" collapsed="false">
      <c r="A58" s="20" t="s">
        <v>466</v>
      </c>
      <c r="B58" s="20" t="s">
        <v>467</v>
      </c>
      <c r="C58" s="20" t="s">
        <v>369</v>
      </c>
      <c r="D58" s="20" t="s">
        <v>386</v>
      </c>
      <c r="E58" s="32" t="s">
        <v>224</v>
      </c>
      <c r="F58" s="21" t="n">
        <v>4925.11</v>
      </c>
      <c r="G58" s="21" t="n">
        <v>934.91</v>
      </c>
      <c r="H58" s="22" t="n">
        <v>19</v>
      </c>
      <c r="I58" s="21" t="n">
        <v>547.23</v>
      </c>
      <c r="J58" s="22" t="n">
        <v>2.5</v>
      </c>
      <c r="K58" s="21" t="n">
        <v>233.83</v>
      </c>
      <c r="L58" s="23" t="n">
        <v>9</v>
      </c>
    </row>
    <row r="59" customFormat="false" ht="15" hidden="false" customHeight="false" outlineLevel="0" collapsed="false">
      <c r="A59" s="6" t="s">
        <v>468</v>
      </c>
      <c r="B59" s="6" t="s">
        <v>469</v>
      </c>
      <c r="C59" s="6" t="s">
        <v>354</v>
      </c>
      <c r="D59" s="6" t="s">
        <v>386</v>
      </c>
      <c r="E59" s="30" t="s">
        <v>224</v>
      </c>
      <c r="F59" s="16" t="n">
        <v>4920.83</v>
      </c>
      <c r="G59" s="16" t="n">
        <v>580.52</v>
      </c>
      <c r="H59" s="17" t="n">
        <v>11.8</v>
      </c>
      <c r="I59" s="16" t="n">
        <v>328.06</v>
      </c>
      <c r="J59" s="17" t="n">
        <v>5.3</v>
      </c>
      <c r="K59" s="16" t="n">
        <v>359.34</v>
      </c>
      <c r="L59" s="18" t="n">
        <v>15</v>
      </c>
    </row>
    <row r="60" customFormat="false" ht="15" hidden="false" customHeight="false" outlineLevel="0" collapsed="false">
      <c r="A60" s="20" t="s">
        <v>470</v>
      </c>
      <c r="B60" s="20" t="s">
        <v>471</v>
      </c>
      <c r="C60" s="20" t="s">
        <v>366</v>
      </c>
      <c r="D60" s="20" t="s">
        <v>386</v>
      </c>
      <c r="E60" s="32" t="s">
        <v>224</v>
      </c>
      <c r="F60" s="21" t="n">
        <v>4898.55</v>
      </c>
      <c r="G60" s="21" t="n">
        <v>683.39</v>
      </c>
      <c r="H60" s="22" t="n">
        <v>14</v>
      </c>
      <c r="I60" s="21" t="n">
        <v>612.32</v>
      </c>
      <c r="J60" s="22" t="n">
        <v>3.2</v>
      </c>
      <c r="K60" s="21" t="n">
        <v>402.94</v>
      </c>
      <c r="L60" s="23" t="n">
        <v>8</v>
      </c>
    </row>
    <row r="61" customFormat="false" ht="15" hidden="false" customHeight="false" outlineLevel="0" collapsed="false">
      <c r="A61" s="6" t="s">
        <v>472</v>
      </c>
      <c r="B61" s="6" t="s">
        <v>473</v>
      </c>
      <c r="C61" s="6" t="s">
        <v>350</v>
      </c>
      <c r="D61" s="6" t="s">
        <v>351</v>
      </c>
      <c r="E61" s="30" t="s">
        <v>224</v>
      </c>
      <c r="F61" s="16" t="n">
        <v>4794.52</v>
      </c>
      <c r="G61" s="16" t="n">
        <v>-40.87</v>
      </c>
      <c r="H61" s="17" t="n">
        <v>-0.9</v>
      </c>
      <c r="I61" s="16" t="n">
        <v>342.47</v>
      </c>
      <c r="J61" s="17" t="n">
        <v>7.9</v>
      </c>
      <c r="K61" s="16" t="n">
        <v>296.65</v>
      </c>
      <c r="L61" s="18" t="n">
        <v>14</v>
      </c>
    </row>
    <row r="62" customFormat="false" ht="15" hidden="false" customHeight="false" outlineLevel="0" collapsed="false">
      <c r="A62" s="20" t="s">
        <v>474</v>
      </c>
      <c r="B62" s="20" t="s">
        <v>475</v>
      </c>
      <c r="C62" s="20" t="s">
        <v>366</v>
      </c>
      <c r="D62" s="20" t="s">
        <v>355</v>
      </c>
      <c r="E62" s="32" t="s">
        <v>224</v>
      </c>
      <c r="F62" s="21" t="n">
        <v>4731.4</v>
      </c>
      <c r="G62" s="21" t="n">
        <v>435.16</v>
      </c>
      <c r="H62" s="22" t="n">
        <v>9.2</v>
      </c>
      <c r="I62" s="21" t="n">
        <v>363.95</v>
      </c>
      <c r="J62" s="22" t="n">
        <v>6.3</v>
      </c>
      <c r="K62" s="21" t="n">
        <v>449.9</v>
      </c>
      <c r="L62" s="23" t="n">
        <v>13</v>
      </c>
    </row>
    <row r="63" customFormat="false" ht="15" hidden="false" customHeight="false" outlineLevel="0" collapsed="false">
      <c r="A63" s="6" t="s">
        <v>476</v>
      </c>
      <c r="B63" s="6" t="s">
        <v>477</v>
      </c>
      <c r="C63" s="6" t="s">
        <v>360</v>
      </c>
      <c r="D63" s="6" t="s">
        <v>386</v>
      </c>
      <c r="E63" s="30" t="s">
        <v>224</v>
      </c>
      <c r="F63" s="16" t="n">
        <v>4697.03</v>
      </c>
      <c r="G63" s="16" t="n">
        <v>768.84</v>
      </c>
      <c r="H63" s="17" t="n">
        <v>16.4</v>
      </c>
      <c r="I63" s="16" t="n">
        <v>335.5</v>
      </c>
      <c r="J63" s="17" t="n">
        <v>3.3</v>
      </c>
      <c r="K63" s="16" t="n">
        <v>291.68</v>
      </c>
      <c r="L63" s="18" t="n">
        <v>14</v>
      </c>
    </row>
    <row r="64" customFormat="false" ht="15" hidden="false" customHeight="false" outlineLevel="0" collapsed="false">
      <c r="A64" s="20" t="s">
        <v>478</v>
      </c>
      <c r="B64" s="20" t="s">
        <v>479</v>
      </c>
      <c r="C64" s="20" t="s">
        <v>350</v>
      </c>
      <c r="D64" s="20" t="s">
        <v>370</v>
      </c>
      <c r="E64" s="32" t="s">
        <v>224</v>
      </c>
      <c r="F64" s="21" t="n">
        <v>4687.1</v>
      </c>
      <c r="G64" s="21" t="n">
        <v>725.89</v>
      </c>
      <c r="H64" s="22" t="n">
        <v>15.5</v>
      </c>
      <c r="I64" s="21" t="n">
        <v>520.79</v>
      </c>
      <c r="J64" s="22" t="n">
        <v>2.3</v>
      </c>
      <c r="K64" s="21" t="n">
        <v>343.16</v>
      </c>
      <c r="L64" s="23" t="n">
        <v>9</v>
      </c>
    </row>
    <row r="65" customFormat="false" ht="15" hidden="false" customHeight="false" outlineLevel="0" collapsed="false">
      <c r="A65" s="6" t="s">
        <v>480</v>
      </c>
      <c r="B65" s="6" t="s">
        <v>481</v>
      </c>
      <c r="C65" s="6" t="s">
        <v>366</v>
      </c>
      <c r="D65" s="6" t="s">
        <v>370</v>
      </c>
      <c r="E65" s="30" t="s">
        <v>224</v>
      </c>
      <c r="F65" s="16" t="n">
        <v>4676.18</v>
      </c>
      <c r="G65" s="16" t="n">
        <v>345.68</v>
      </c>
      <c r="H65" s="17" t="n">
        <v>7.4</v>
      </c>
      <c r="I65" s="16" t="n">
        <v>359.71</v>
      </c>
      <c r="J65" s="17" t="n">
        <v>5.3</v>
      </c>
      <c r="K65" s="16" t="n">
        <v>486.16</v>
      </c>
      <c r="L65" s="18" t="n">
        <v>13</v>
      </c>
    </row>
    <row r="66" customFormat="false" ht="15" hidden="false" customHeight="false" outlineLevel="0" collapsed="false">
      <c r="A66" s="20" t="s">
        <v>482</v>
      </c>
      <c r="B66" s="20" t="s">
        <v>483</v>
      </c>
      <c r="C66" s="20" t="s">
        <v>354</v>
      </c>
      <c r="D66" s="20" t="s">
        <v>355</v>
      </c>
      <c r="E66" s="32" t="s">
        <v>224</v>
      </c>
      <c r="F66" s="21" t="n">
        <v>4577.95</v>
      </c>
      <c r="G66" s="21" t="n">
        <v>448.9</v>
      </c>
      <c r="H66" s="22" t="n">
        <v>9.8</v>
      </c>
      <c r="I66" s="21" t="n">
        <v>416.18</v>
      </c>
      <c r="J66" s="22" t="n">
        <v>6.1</v>
      </c>
      <c r="K66" s="21" t="n">
        <v>372.33</v>
      </c>
      <c r="L66" s="23" t="n">
        <v>11</v>
      </c>
    </row>
    <row r="67" customFormat="false" ht="15" hidden="false" customHeight="false" outlineLevel="0" collapsed="false">
      <c r="A67" s="6" t="s">
        <v>484</v>
      </c>
      <c r="B67" s="6" t="s">
        <v>485</v>
      </c>
      <c r="C67" s="6" t="s">
        <v>369</v>
      </c>
      <c r="D67" s="6" t="s">
        <v>386</v>
      </c>
      <c r="E67" s="30" t="s">
        <v>224</v>
      </c>
      <c r="F67" s="16" t="n">
        <v>4411.79</v>
      </c>
      <c r="G67" s="16" t="n">
        <v>659.53</v>
      </c>
      <c r="H67" s="17" t="n">
        <v>14.9</v>
      </c>
      <c r="I67" s="16" t="n">
        <v>551.47</v>
      </c>
      <c r="J67" s="17" t="n">
        <v>4.2</v>
      </c>
      <c r="K67" s="16" t="n">
        <v>375.7</v>
      </c>
      <c r="L67" s="18" t="n">
        <v>8</v>
      </c>
    </row>
    <row r="68" customFormat="false" ht="15" hidden="false" customHeight="false" outlineLevel="0" collapsed="false">
      <c r="A68" s="20" t="s">
        <v>486</v>
      </c>
      <c r="B68" s="20" t="s">
        <v>487</v>
      </c>
      <c r="C68" s="20" t="s">
        <v>373</v>
      </c>
      <c r="D68" s="20" t="s">
        <v>355</v>
      </c>
      <c r="E68" s="32" t="s">
        <v>224</v>
      </c>
      <c r="F68" s="21" t="n">
        <v>4275.07</v>
      </c>
      <c r="G68" s="21" t="n">
        <v>836.91</v>
      </c>
      <c r="H68" s="22" t="n">
        <v>19.6</v>
      </c>
      <c r="I68" s="21" t="n">
        <v>427.51</v>
      </c>
      <c r="J68" s="22" t="n">
        <v>2.5</v>
      </c>
      <c r="K68" s="21" t="n">
        <v>246.05</v>
      </c>
      <c r="L68" s="23" t="n">
        <v>10</v>
      </c>
    </row>
    <row r="69" customFormat="false" ht="15" hidden="false" customHeight="false" outlineLevel="0" collapsed="false">
      <c r="A69" s="6" t="s">
        <v>488</v>
      </c>
      <c r="B69" s="6" t="s">
        <v>489</v>
      </c>
      <c r="C69" s="6" t="s">
        <v>366</v>
      </c>
      <c r="D69" s="6" t="s">
        <v>386</v>
      </c>
      <c r="E69" s="30" t="s">
        <v>224</v>
      </c>
      <c r="F69" s="16" t="n">
        <v>4272.91</v>
      </c>
      <c r="G69" s="16" t="n">
        <v>671.8</v>
      </c>
      <c r="H69" s="17" t="n">
        <v>15.7</v>
      </c>
      <c r="I69" s="16" t="n">
        <v>474.77</v>
      </c>
      <c r="J69" s="17" t="n">
        <v>2.9</v>
      </c>
      <c r="K69" s="16" t="n">
        <v>269.69</v>
      </c>
      <c r="L69" s="18" t="n">
        <v>9</v>
      </c>
    </row>
    <row r="70" customFormat="false" ht="15" hidden="false" customHeight="false" outlineLevel="0" collapsed="false">
      <c r="A70" s="20" t="s">
        <v>490</v>
      </c>
      <c r="B70" s="20" t="s">
        <v>491</v>
      </c>
      <c r="C70" s="20" t="s">
        <v>369</v>
      </c>
      <c r="D70" s="20" t="s">
        <v>386</v>
      </c>
      <c r="E70" s="32" t="s">
        <v>224</v>
      </c>
      <c r="F70" s="21" t="n">
        <v>4213.38</v>
      </c>
      <c r="G70" s="21" t="n">
        <v>613.36</v>
      </c>
      <c r="H70" s="22" t="n">
        <v>14.6</v>
      </c>
      <c r="I70" s="21" t="n">
        <v>280.89</v>
      </c>
      <c r="J70" s="22" t="n">
        <v>2.6</v>
      </c>
      <c r="K70" s="21" t="n">
        <v>295.48</v>
      </c>
      <c r="L70" s="23" t="n">
        <v>15</v>
      </c>
    </row>
    <row r="71" customFormat="false" ht="15" hidden="false" customHeight="false" outlineLevel="0" collapsed="false">
      <c r="A71" s="6" t="s">
        <v>492</v>
      </c>
      <c r="B71" s="6" t="s">
        <v>493</v>
      </c>
      <c r="C71" s="6" t="s">
        <v>393</v>
      </c>
      <c r="D71" s="6" t="s">
        <v>370</v>
      </c>
      <c r="E71" s="30" t="s">
        <v>224</v>
      </c>
      <c r="F71" s="16" t="n">
        <v>4181.3</v>
      </c>
      <c r="G71" s="16" t="n">
        <v>638.75</v>
      </c>
      <c r="H71" s="17" t="n">
        <v>15.3</v>
      </c>
      <c r="I71" s="16" t="n">
        <v>348.44</v>
      </c>
      <c r="J71" s="17" t="n">
        <v>3.2</v>
      </c>
      <c r="K71" s="16" t="n">
        <v>258.62</v>
      </c>
      <c r="L71" s="18" t="n">
        <v>12</v>
      </c>
    </row>
    <row r="72" customFormat="false" ht="15" hidden="false" customHeight="false" outlineLevel="0" collapsed="false">
      <c r="A72" s="20" t="s">
        <v>494</v>
      </c>
      <c r="B72" s="20" t="s">
        <v>495</v>
      </c>
      <c r="C72" s="20" t="s">
        <v>354</v>
      </c>
      <c r="D72" s="20" t="s">
        <v>355</v>
      </c>
      <c r="E72" s="32" t="s">
        <v>224</v>
      </c>
      <c r="F72" s="21" t="n">
        <v>4067.62</v>
      </c>
      <c r="G72" s="21" t="n">
        <v>421.13</v>
      </c>
      <c r="H72" s="22" t="n">
        <v>10.4</v>
      </c>
      <c r="I72" s="21" t="n">
        <v>369.78</v>
      </c>
      <c r="J72" s="22" t="n">
        <v>4.5</v>
      </c>
      <c r="K72" s="21" t="n">
        <v>347.55</v>
      </c>
      <c r="L72" s="23" t="n">
        <v>11</v>
      </c>
    </row>
    <row r="73" customFormat="false" ht="15" hidden="false" customHeight="false" outlineLevel="0" collapsed="false">
      <c r="A73" s="6" t="s">
        <v>496</v>
      </c>
      <c r="B73" s="6" t="s">
        <v>497</v>
      </c>
      <c r="C73" s="6" t="s">
        <v>366</v>
      </c>
      <c r="D73" s="6" t="s">
        <v>386</v>
      </c>
      <c r="E73" s="30" t="s">
        <v>224</v>
      </c>
      <c r="F73" s="16" t="n">
        <v>3974.79</v>
      </c>
      <c r="G73" s="16" t="n">
        <v>492.69</v>
      </c>
      <c r="H73" s="17" t="n">
        <v>12.4</v>
      </c>
      <c r="I73" s="16" t="n">
        <v>331.23</v>
      </c>
      <c r="J73" s="17" t="n">
        <v>6.8</v>
      </c>
      <c r="K73" s="16" t="n">
        <v>246.97</v>
      </c>
      <c r="L73" s="18" t="n">
        <v>12</v>
      </c>
    </row>
    <row r="74" customFormat="false" ht="15" hidden="false" customHeight="false" outlineLevel="0" collapsed="false">
      <c r="A74" s="20" t="s">
        <v>498</v>
      </c>
      <c r="B74" s="20" t="s">
        <v>499</v>
      </c>
      <c r="C74" s="20" t="s">
        <v>354</v>
      </c>
      <c r="D74" s="20" t="s">
        <v>351</v>
      </c>
      <c r="E74" s="32" t="s">
        <v>224</v>
      </c>
      <c r="F74" s="21" t="n">
        <v>3868.74</v>
      </c>
      <c r="G74" s="21" t="n">
        <v>324.52</v>
      </c>
      <c r="H74" s="22" t="n">
        <v>8.4</v>
      </c>
      <c r="I74" s="21" t="n">
        <v>322.4</v>
      </c>
      <c r="J74" s="22" t="n">
        <v>4.1</v>
      </c>
      <c r="K74" s="21" t="n">
        <v>330.61</v>
      </c>
      <c r="L74" s="23" t="n">
        <v>12</v>
      </c>
    </row>
    <row r="75" customFormat="false" ht="15" hidden="false" customHeight="false" outlineLevel="0" collapsed="false">
      <c r="A75" s="6" t="s">
        <v>500</v>
      </c>
      <c r="B75" s="6" t="s">
        <v>501</v>
      </c>
      <c r="C75" s="6" t="s">
        <v>360</v>
      </c>
      <c r="D75" s="6" t="s">
        <v>386</v>
      </c>
      <c r="E75" s="30" t="s">
        <v>224</v>
      </c>
      <c r="F75" s="16" t="n">
        <v>3781.89</v>
      </c>
      <c r="G75" s="16" t="n">
        <v>657.77</v>
      </c>
      <c r="H75" s="17" t="n">
        <v>17.4</v>
      </c>
      <c r="I75" s="16" t="n">
        <v>756.38</v>
      </c>
      <c r="J75" s="17" t="n">
        <v>7.4</v>
      </c>
      <c r="K75" s="16" t="n">
        <v>166.54</v>
      </c>
      <c r="L75" s="18" t="n">
        <v>5</v>
      </c>
    </row>
    <row r="76" customFormat="false" ht="15" hidden="false" customHeight="false" outlineLevel="0" collapsed="false">
      <c r="A76" s="20" t="s">
        <v>502</v>
      </c>
      <c r="B76" s="20" t="s">
        <v>503</v>
      </c>
      <c r="C76" s="20" t="s">
        <v>373</v>
      </c>
      <c r="D76" s="20" t="s">
        <v>351</v>
      </c>
      <c r="E76" s="32" t="s">
        <v>287</v>
      </c>
      <c r="F76" s="21" t="n">
        <v>3724.21</v>
      </c>
      <c r="G76" s="21" t="n">
        <v>284.3</v>
      </c>
      <c r="H76" s="22" t="n">
        <v>7.6</v>
      </c>
      <c r="I76" s="21" t="n">
        <v>266.02</v>
      </c>
      <c r="J76" s="22" t="n">
        <v>5.6</v>
      </c>
      <c r="K76" s="21" t="n">
        <v>252.55</v>
      </c>
      <c r="L76" s="23" t="n">
        <v>14</v>
      </c>
    </row>
    <row r="77" customFormat="false" ht="15" hidden="false" customHeight="false" outlineLevel="0" collapsed="false">
      <c r="A77" s="6" t="s">
        <v>504</v>
      </c>
      <c r="B77" s="6" t="s">
        <v>505</v>
      </c>
      <c r="C77" s="6" t="s">
        <v>363</v>
      </c>
      <c r="D77" s="6" t="s">
        <v>355</v>
      </c>
      <c r="E77" s="30" t="s">
        <v>287</v>
      </c>
      <c r="F77" s="16" t="n">
        <v>3710.73</v>
      </c>
      <c r="G77" s="16" t="n">
        <v>509.18</v>
      </c>
      <c r="H77" s="17" t="n">
        <v>13.7</v>
      </c>
      <c r="I77" s="16" t="n">
        <v>247.38</v>
      </c>
      <c r="J77" s="17" t="n">
        <v>2.7</v>
      </c>
      <c r="K77" s="16" t="n">
        <v>363.16</v>
      </c>
      <c r="L77" s="18" t="n">
        <v>15</v>
      </c>
    </row>
    <row r="78" customFormat="false" ht="15" hidden="false" customHeight="false" outlineLevel="0" collapsed="false">
      <c r="A78" s="20" t="s">
        <v>506</v>
      </c>
      <c r="B78" s="20" t="s">
        <v>507</v>
      </c>
      <c r="C78" s="20" t="s">
        <v>363</v>
      </c>
      <c r="D78" s="20" t="s">
        <v>386</v>
      </c>
      <c r="E78" s="32" t="s">
        <v>287</v>
      </c>
      <c r="F78" s="21" t="n">
        <v>3674.16</v>
      </c>
      <c r="G78" s="21" t="n">
        <v>464.64</v>
      </c>
      <c r="H78" s="22" t="n">
        <v>12.6</v>
      </c>
      <c r="I78" s="21" t="n">
        <v>524.88</v>
      </c>
      <c r="J78" s="22" t="n">
        <v>3.9</v>
      </c>
      <c r="K78" s="21" t="n">
        <v>250.54</v>
      </c>
      <c r="L78" s="23" t="n">
        <v>7</v>
      </c>
    </row>
    <row r="79" customFormat="false" ht="15" hidden="false" customHeight="false" outlineLevel="0" collapsed="false">
      <c r="A79" s="6" t="s">
        <v>508</v>
      </c>
      <c r="B79" s="6" t="s">
        <v>509</v>
      </c>
      <c r="C79" s="6" t="s">
        <v>366</v>
      </c>
      <c r="D79" s="6" t="s">
        <v>370</v>
      </c>
      <c r="E79" s="30" t="s">
        <v>287</v>
      </c>
      <c r="F79" s="16" t="n">
        <v>3658.9</v>
      </c>
      <c r="G79" s="16" t="n">
        <v>425.25</v>
      </c>
      <c r="H79" s="17" t="n">
        <v>11.6</v>
      </c>
      <c r="I79" s="16" t="n">
        <v>406.54</v>
      </c>
      <c r="J79" s="17" t="n">
        <v>2.5</v>
      </c>
      <c r="K79" s="16" t="n">
        <v>313.14</v>
      </c>
      <c r="L79" s="18" t="n">
        <v>9</v>
      </c>
    </row>
    <row r="80" customFormat="false" ht="15" hidden="false" customHeight="false" outlineLevel="0" collapsed="false">
      <c r="A80" s="20" t="s">
        <v>510</v>
      </c>
      <c r="B80" s="20" t="s">
        <v>511</v>
      </c>
      <c r="C80" s="20" t="s">
        <v>393</v>
      </c>
      <c r="D80" s="20" t="s">
        <v>386</v>
      </c>
      <c r="E80" s="32" t="s">
        <v>287</v>
      </c>
      <c r="F80" s="21" t="n">
        <v>3621.94</v>
      </c>
      <c r="G80" s="21" t="n">
        <v>581.55</v>
      </c>
      <c r="H80" s="22" t="n">
        <v>16.1</v>
      </c>
      <c r="I80" s="21" t="n">
        <v>603.66</v>
      </c>
      <c r="J80" s="22" t="n">
        <v>2.7</v>
      </c>
      <c r="K80" s="21" t="n">
        <v>209.4</v>
      </c>
      <c r="L80" s="23" t="n">
        <v>6</v>
      </c>
    </row>
    <row r="81" customFormat="false" ht="15" hidden="false" customHeight="false" outlineLevel="0" collapsed="false">
      <c r="A81" s="6" t="s">
        <v>512</v>
      </c>
      <c r="B81" s="6" t="s">
        <v>513</v>
      </c>
      <c r="C81" s="6" t="s">
        <v>354</v>
      </c>
      <c r="D81" s="6" t="s">
        <v>370</v>
      </c>
      <c r="E81" s="30" t="s">
        <v>287</v>
      </c>
      <c r="F81" s="16" t="n">
        <v>3213.95</v>
      </c>
      <c r="G81" s="16" t="n">
        <v>441.23</v>
      </c>
      <c r="H81" s="17" t="n">
        <v>13.7</v>
      </c>
      <c r="I81" s="16" t="n">
        <v>459.14</v>
      </c>
      <c r="J81" s="17" t="n">
        <v>2.8</v>
      </c>
      <c r="K81" s="16" t="n">
        <v>215.89</v>
      </c>
      <c r="L81" s="18" t="n">
        <v>7</v>
      </c>
    </row>
    <row r="82" customFormat="false" ht="15" hidden="false" customHeight="false" outlineLevel="0" collapsed="false">
      <c r="A82" s="20" t="s">
        <v>514</v>
      </c>
      <c r="B82" s="20" t="s">
        <v>515</v>
      </c>
      <c r="C82" s="20" t="s">
        <v>366</v>
      </c>
      <c r="D82" s="20" t="s">
        <v>351</v>
      </c>
      <c r="E82" s="32" t="s">
        <v>287</v>
      </c>
      <c r="F82" s="21" t="n">
        <v>3133.89</v>
      </c>
      <c r="G82" s="21" t="n">
        <v>479.74</v>
      </c>
      <c r="H82" s="22" t="n">
        <v>15.3</v>
      </c>
      <c r="I82" s="21" t="n">
        <v>391.74</v>
      </c>
      <c r="J82" s="22" t="n">
        <v>2.8</v>
      </c>
      <c r="K82" s="21" t="n">
        <v>256.68</v>
      </c>
      <c r="L82" s="23" t="n">
        <v>8</v>
      </c>
    </row>
    <row r="83" customFormat="false" ht="15" hidden="false" customHeight="false" outlineLevel="0" collapsed="false">
      <c r="A83" s="6" t="s">
        <v>516</v>
      </c>
      <c r="B83" s="6" t="s">
        <v>517</v>
      </c>
      <c r="C83" s="6" t="s">
        <v>363</v>
      </c>
      <c r="D83" s="6" t="s">
        <v>351</v>
      </c>
      <c r="E83" s="30" t="s">
        <v>287</v>
      </c>
      <c r="F83" s="16" t="n">
        <v>2827.73</v>
      </c>
      <c r="G83" s="16" t="n">
        <v>436.54</v>
      </c>
      <c r="H83" s="17" t="n">
        <v>15.4</v>
      </c>
      <c r="I83" s="16" t="n">
        <v>403.96</v>
      </c>
      <c r="J83" s="17" t="n">
        <v>2.9</v>
      </c>
      <c r="K83" s="16" t="n">
        <v>234.29</v>
      </c>
      <c r="L83" s="18" t="n">
        <v>7</v>
      </c>
    </row>
    <row r="84" customFormat="false" ht="15" hidden="false" customHeight="false" outlineLevel="0" collapsed="false">
      <c r="A84" s="20" t="s">
        <v>518</v>
      </c>
      <c r="B84" s="20" t="s">
        <v>519</v>
      </c>
      <c r="C84" s="20" t="s">
        <v>393</v>
      </c>
      <c r="D84" s="20" t="s">
        <v>370</v>
      </c>
      <c r="E84" s="32" t="s">
        <v>287</v>
      </c>
      <c r="F84" s="21" t="n">
        <v>2817.11</v>
      </c>
      <c r="G84" s="21" t="n">
        <v>456.79</v>
      </c>
      <c r="H84" s="22" t="n">
        <v>16.2</v>
      </c>
      <c r="I84" s="21" t="n">
        <v>402.44</v>
      </c>
      <c r="J84" s="22" t="n">
        <v>2.3</v>
      </c>
      <c r="K84" s="21" t="n">
        <v>220.12</v>
      </c>
      <c r="L84" s="23" t="n">
        <v>7</v>
      </c>
    </row>
    <row r="85" customFormat="false" ht="15" hidden="false" customHeight="false" outlineLevel="0" collapsed="false">
      <c r="A85" s="6" t="s">
        <v>520</v>
      </c>
      <c r="B85" s="6" t="s">
        <v>521</v>
      </c>
      <c r="C85" s="6" t="s">
        <v>360</v>
      </c>
      <c r="D85" s="6" t="s">
        <v>386</v>
      </c>
      <c r="E85" s="30" t="s">
        <v>287</v>
      </c>
      <c r="F85" s="16" t="n">
        <v>2782.38</v>
      </c>
      <c r="G85" s="16" t="n">
        <v>-37.17</v>
      </c>
      <c r="H85" s="17" t="n">
        <v>-1.3</v>
      </c>
      <c r="I85" s="16" t="n">
        <v>252.94</v>
      </c>
      <c r="J85" s="17" t="n">
        <v>6.3</v>
      </c>
      <c r="K85" s="16" t="n">
        <v>334.77</v>
      </c>
      <c r="L85" s="18" t="n">
        <v>11</v>
      </c>
    </row>
    <row r="86" customFormat="false" ht="15" hidden="false" customHeight="false" outlineLevel="0" collapsed="false">
      <c r="A86" s="20" t="s">
        <v>522</v>
      </c>
      <c r="B86" s="20" t="s">
        <v>523</v>
      </c>
      <c r="C86" s="20" t="s">
        <v>366</v>
      </c>
      <c r="D86" s="20" t="s">
        <v>351</v>
      </c>
      <c r="E86" s="32" t="s">
        <v>287</v>
      </c>
      <c r="F86" s="21" t="n">
        <v>2755.29</v>
      </c>
      <c r="G86" s="21" t="n">
        <v>476.12</v>
      </c>
      <c r="H86" s="22" t="n">
        <v>17.3</v>
      </c>
      <c r="I86" s="21" t="n">
        <v>393.61</v>
      </c>
      <c r="J86" s="22" t="n">
        <v>2.7</v>
      </c>
      <c r="K86" s="21" t="n">
        <v>167.86</v>
      </c>
      <c r="L86" s="23" t="n">
        <v>7</v>
      </c>
    </row>
    <row r="87" customFormat="false" ht="15" hidden="false" customHeight="false" outlineLevel="0" collapsed="false">
      <c r="A87" s="6" t="s">
        <v>524</v>
      </c>
      <c r="B87" s="6" t="s">
        <v>525</v>
      </c>
      <c r="C87" s="6" t="s">
        <v>366</v>
      </c>
      <c r="D87" s="6" t="s">
        <v>355</v>
      </c>
      <c r="E87" s="30" t="s">
        <v>287</v>
      </c>
      <c r="F87" s="16" t="n">
        <v>2640.42</v>
      </c>
      <c r="G87" s="16" t="n">
        <v>466.81</v>
      </c>
      <c r="H87" s="17" t="n">
        <v>17.7</v>
      </c>
      <c r="I87" s="16" t="n">
        <v>330.05</v>
      </c>
      <c r="J87" s="17" t="n">
        <v>2.2</v>
      </c>
      <c r="K87" s="16" t="n">
        <v>114.56</v>
      </c>
      <c r="L87" s="18" t="n">
        <v>8</v>
      </c>
    </row>
    <row r="88" customFormat="false" ht="15" hidden="false" customHeight="false" outlineLevel="0" collapsed="false">
      <c r="A88" s="20" t="s">
        <v>526</v>
      </c>
      <c r="B88" s="20" t="s">
        <v>527</v>
      </c>
      <c r="C88" s="20" t="s">
        <v>369</v>
      </c>
      <c r="D88" s="20" t="s">
        <v>386</v>
      </c>
      <c r="E88" s="32" t="s">
        <v>287</v>
      </c>
      <c r="F88" s="21" t="n">
        <v>2126.14</v>
      </c>
      <c r="G88" s="21" t="n">
        <v>260.12</v>
      </c>
      <c r="H88" s="22" t="n">
        <v>12.2</v>
      </c>
      <c r="I88" s="21" t="n">
        <v>236.24</v>
      </c>
      <c r="J88" s="22" t="n">
        <v>2.2</v>
      </c>
      <c r="K88" s="21" t="n">
        <v>161.47</v>
      </c>
      <c r="L88" s="23" t="n">
        <v>9</v>
      </c>
    </row>
    <row r="89" customFormat="false" ht="15" hidden="false" customHeight="false" outlineLevel="0" collapsed="false">
      <c r="A89" s="6" t="s">
        <v>528</v>
      </c>
      <c r="B89" s="6" t="s">
        <v>529</v>
      </c>
      <c r="C89" s="6" t="s">
        <v>369</v>
      </c>
      <c r="D89" s="6" t="s">
        <v>370</v>
      </c>
      <c r="E89" s="30" t="s">
        <v>287</v>
      </c>
      <c r="F89" s="16" t="n">
        <v>1876.93</v>
      </c>
      <c r="G89" s="16" t="n">
        <v>187.32</v>
      </c>
      <c r="H89" s="17" t="n">
        <v>10</v>
      </c>
      <c r="I89" s="16" t="n">
        <v>375.39</v>
      </c>
      <c r="J89" s="17" t="n">
        <v>2.7</v>
      </c>
      <c r="K89" s="16" t="n">
        <v>138.32</v>
      </c>
      <c r="L89" s="18" t="n">
        <v>5</v>
      </c>
    </row>
    <row r="90" customFormat="false" ht="15" hidden="false" customHeight="false" outlineLevel="0" collapsed="false">
      <c r="A90" s="20" t="s">
        <v>530</v>
      </c>
      <c r="B90" s="20" t="s">
        <v>531</v>
      </c>
      <c r="C90" s="20" t="s">
        <v>366</v>
      </c>
      <c r="D90" s="20" t="s">
        <v>386</v>
      </c>
      <c r="E90" s="32" t="s">
        <v>287</v>
      </c>
      <c r="F90" s="21" t="n">
        <v>1827.02</v>
      </c>
      <c r="G90" s="21" t="n">
        <v>114.91</v>
      </c>
      <c r="H90" s="22" t="n">
        <v>6.3</v>
      </c>
      <c r="I90" s="21" t="n">
        <v>261</v>
      </c>
      <c r="J90" s="22" t="n">
        <v>2.9</v>
      </c>
      <c r="K90" s="21" t="n">
        <v>132.1</v>
      </c>
      <c r="L90" s="23" t="n">
        <v>7</v>
      </c>
    </row>
    <row r="91" customFormat="false" ht="15" hidden="false" customHeight="false" outlineLevel="0" collapsed="false">
      <c r="A91" s="6" t="s">
        <v>532</v>
      </c>
      <c r="B91" s="6" t="s">
        <v>533</v>
      </c>
      <c r="C91" s="6" t="s">
        <v>373</v>
      </c>
      <c r="D91" s="6" t="s">
        <v>386</v>
      </c>
      <c r="E91" s="30" t="s">
        <v>287</v>
      </c>
      <c r="F91" s="16" t="n">
        <v>1659.28</v>
      </c>
      <c r="G91" s="16" t="n">
        <v>299.87</v>
      </c>
      <c r="H91" s="17" t="n">
        <v>18.1</v>
      </c>
      <c r="I91" s="16" t="n">
        <v>331.86</v>
      </c>
      <c r="J91" s="17" t="n">
        <v>2.7</v>
      </c>
      <c r="K91" s="16" t="n">
        <v>105.68</v>
      </c>
      <c r="L91" s="18" t="n">
        <v>5</v>
      </c>
    </row>
    <row r="92" customFormat="false" ht="15" hidden="false" customHeight="false" outlineLevel="0" collapsed="false">
      <c r="A92" s="20" t="s">
        <v>534</v>
      </c>
      <c r="B92" s="20" t="s">
        <v>535</v>
      </c>
      <c r="C92" s="20" t="s">
        <v>360</v>
      </c>
      <c r="D92" s="20" t="s">
        <v>355</v>
      </c>
      <c r="E92" s="32" t="s">
        <v>287</v>
      </c>
      <c r="F92" s="21" t="n">
        <v>1632.4</v>
      </c>
      <c r="G92" s="21" t="n">
        <v>167.28</v>
      </c>
      <c r="H92" s="22" t="n">
        <v>10.2</v>
      </c>
      <c r="I92" s="21" t="n">
        <v>272.07</v>
      </c>
      <c r="J92" s="22" t="n">
        <v>3.2</v>
      </c>
      <c r="K92" s="21" t="n">
        <v>101.85</v>
      </c>
      <c r="L92" s="23" t="n">
        <v>6</v>
      </c>
    </row>
    <row r="93" customFormat="false" ht="15" hidden="false" customHeight="false" outlineLevel="0" collapsed="false">
      <c r="A93" s="6" t="s">
        <v>536</v>
      </c>
      <c r="B93" s="6" t="s">
        <v>537</v>
      </c>
      <c r="C93" s="6" t="s">
        <v>354</v>
      </c>
      <c r="D93" s="6" t="s">
        <v>386</v>
      </c>
      <c r="E93" s="30" t="s">
        <v>287</v>
      </c>
      <c r="F93" s="16" t="n">
        <v>1567.86</v>
      </c>
      <c r="G93" s="16" t="n">
        <v>172.16</v>
      </c>
      <c r="H93" s="17" t="n">
        <v>11</v>
      </c>
      <c r="I93" s="16" t="n">
        <v>223.98</v>
      </c>
      <c r="J93" s="17" t="n">
        <v>4.2</v>
      </c>
      <c r="K93" s="16" t="n">
        <v>130.08</v>
      </c>
      <c r="L93" s="18" t="n">
        <v>7</v>
      </c>
    </row>
    <row r="94" customFormat="false" ht="15" hidden="false" customHeight="false" outlineLevel="0" collapsed="false">
      <c r="A94" s="20" t="s">
        <v>538</v>
      </c>
      <c r="B94" s="20" t="s">
        <v>539</v>
      </c>
      <c r="C94" s="20" t="s">
        <v>360</v>
      </c>
      <c r="D94" s="20" t="s">
        <v>386</v>
      </c>
      <c r="E94" s="32" t="s">
        <v>287</v>
      </c>
      <c r="F94" s="21" t="n">
        <v>822.93</v>
      </c>
      <c r="G94" s="21" t="n">
        <v>80.64</v>
      </c>
      <c r="H94" s="22" t="n">
        <v>9.8</v>
      </c>
      <c r="I94" s="21" t="n">
        <v>164.59</v>
      </c>
      <c r="J94" s="22" t="n">
        <v>1.8</v>
      </c>
      <c r="K94" s="21" t="n">
        <v>63.45</v>
      </c>
      <c r="L94" s="23" t="n">
        <v>5</v>
      </c>
    </row>
    <row r="95" customFormat="false" ht="15" hidden="false" customHeight="false" outlineLevel="0" collapsed="false">
      <c r="A95" s="27" t="s">
        <v>35</v>
      </c>
      <c r="F95" s="28" t="n">
        <f aca="false">SUM(F5:F94)</f>
        <v>963092.98</v>
      </c>
      <c r="G95" s="28" t="n">
        <f aca="false">SUM(G5:G94)</f>
        <v>121159.92</v>
      </c>
      <c r="K95" s="28" t="n">
        <f aca="false">SUM(K5:K94)</f>
        <v>62385.42</v>
      </c>
      <c r="L95" s="29" t="n">
        <f aca="false">SUM(L5:L94)</f>
        <v>1966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2"/>
    <col collapsed="false" customWidth="true" hidden="false" outlineLevel="0" max="3" min="3" style="0" width="19"/>
    <col collapsed="false" customWidth="true" hidden="false" outlineLevel="0" max="4" min="4" style="0" width="16"/>
    <col collapsed="false" customWidth="true" hidden="false" outlineLevel="0" max="5" min="5" style="0" width="19"/>
    <col collapsed="false" customWidth="true" hidden="false" outlineLevel="0" max="6" min="6" style="0" width="27"/>
    <col collapsed="false" customWidth="true" hidden="false" outlineLevel="0" max="7" min="7" style="0" width="25"/>
    <col collapsed="false" customWidth="true" hidden="false" outlineLevel="0" max="8" min="8" style="0" width="24"/>
  </cols>
  <sheetData>
    <row r="1" customFormat="false" ht="17.35" hidden="false" customHeight="false" outlineLevel="0" collapsed="false">
      <c r="A1" s="14" t="s">
        <v>540</v>
      </c>
    </row>
    <row r="2" customFormat="false" ht="15" hidden="false" customHeight="false" outlineLevel="0" collapsed="false">
      <c r="A2" s="3" t="s">
        <v>541</v>
      </c>
    </row>
    <row r="4" customFormat="false" ht="15" hidden="false" customHeight="false" outlineLevel="0" collapsed="false">
      <c r="A4" s="15" t="s">
        <v>20</v>
      </c>
      <c r="B4" s="15" t="s">
        <v>21</v>
      </c>
      <c r="C4" s="15" t="s">
        <v>542</v>
      </c>
      <c r="D4" s="15" t="s">
        <v>543</v>
      </c>
      <c r="E4" s="15" t="s">
        <v>23</v>
      </c>
      <c r="F4" s="15" t="s">
        <v>544</v>
      </c>
      <c r="G4" s="15" t="s">
        <v>5</v>
      </c>
      <c r="H4" s="15" t="s">
        <v>545</v>
      </c>
    </row>
    <row r="5" customFormat="false" ht="15" hidden="false" customHeight="false" outlineLevel="0" collapsed="false">
      <c r="A5" s="6" t="s">
        <v>32</v>
      </c>
      <c r="B5" s="16" t="n">
        <v>308788.71</v>
      </c>
      <c r="C5" s="16" t="n">
        <v>31944.32</v>
      </c>
      <c r="D5" s="16" t="n">
        <v>12775.69</v>
      </c>
      <c r="E5" s="16" t="n">
        <v>19168.63</v>
      </c>
      <c r="F5" s="17" t="n">
        <v>6.2</v>
      </c>
      <c r="G5" s="16" t="n">
        <v>43291.95</v>
      </c>
      <c r="H5" s="16" t="n">
        <v>62460.58</v>
      </c>
    </row>
    <row r="6" customFormat="false" ht="15" hidden="false" customHeight="false" outlineLevel="0" collapsed="false">
      <c r="A6" s="20" t="s">
        <v>34</v>
      </c>
      <c r="B6" s="21" t="n">
        <v>293290.99</v>
      </c>
      <c r="C6" s="21" t="n">
        <v>31197.52</v>
      </c>
      <c r="D6" s="21" t="n">
        <v>13611.51</v>
      </c>
      <c r="E6" s="21" t="n">
        <v>17586.01</v>
      </c>
      <c r="F6" s="22" t="n">
        <v>6</v>
      </c>
      <c r="G6" s="21" t="n">
        <v>60926.7</v>
      </c>
      <c r="H6" s="21" t="n">
        <v>78512.71</v>
      </c>
    </row>
    <row r="7" customFormat="false" ht="15" hidden="false" customHeight="false" outlineLevel="0" collapsed="false">
      <c r="A7" s="6" t="s">
        <v>27</v>
      </c>
      <c r="B7" s="16" t="n">
        <v>227036.44</v>
      </c>
      <c r="C7" s="16" t="n">
        <v>34072.81</v>
      </c>
      <c r="D7" s="16" t="n">
        <v>16986.06</v>
      </c>
      <c r="E7" s="16" t="n">
        <v>17086.75</v>
      </c>
      <c r="F7" s="17" t="n">
        <v>7.5</v>
      </c>
      <c r="G7" s="16" t="n">
        <v>-19326.49</v>
      </c>
      <c r="H7" s="16" t="n">
        <v>-2239.74</v>
      </c>
    </row>
    <row r="8" customFormat="false" ht="15" hidden="false" customHeight="false" outlineLevel="0" collapsed="false">
      <c r="A8" s="20" t="s">
        <v>31</v>
      </c>
      <c r="B8" s="21" t="n">
        <v>99556.51</v>
      </c>
      <c r="C8" s="21" t="n">
        <v>11574.26</v>
      </c>
      <c r="D8" s="21" t="n">
        <v>5357.48</v>
      </c>
      <c r="E8" s="21" t="n">
        <v>6216.78</v>
      </c>
      <c r="F8" s="22" t="n">
        <v>6.2</v>
      </c>
      <c r="G8" s="21" t="n">
        <v>27529.25</v>
      </c>
      <c r="H8" s="21" t="n">
        <v>33746.03</v>
      </c>
    </row>
    <row r="9" customFormat="false" ht="15" hidden="false" customHeight="false" outlineLevel="0" collapsed="false">
      <c r="A9" s="6" t="s">
        <v>29</v>
      </c>
      <c r="B9" s="16" t="n">
        <v>44109.56</v>
      </c>
      <c r="C9" s="16" t="n">
        <v>6042.04</v>
      </c>
      <c r="D9" s="16" t="n">
        <v>3102.61</v>
      </c>
      <c r="E9" s="16" t="n">
        <v>2939.43</v>
      </c>
      <c r="F9" s="17" t="n">
        <v>6.7</v>
      </c>
      <c r="G9" s="16" t="n">
        <v>10593.47</v>
      </c>
      <c r="H9" s="16" t="n">
        <v>13532.9</v>
      </c>
    </row>
    <row r="10" customFormat="false" ht="15" hidden="false" customHeight="false" outlineLevel="0" collapsed="false">
      <c r="A10" s="27" t="s">
        <v>35</v>
      </c>
      <c r="B10" s="28" t="n">
        <f aca="false">SUM(B5:B9)</f>
        <v>972782.21</v>
      </c>
      <c r="C10" s="28" t="n">
        <f aca="false">SUM(C5:C9)</f>
        <v>114830.95</v>
      </c>
      <c r="D10" s="28" t="n">
        <f aca="false">SUM(D5:D9)</f>
        <v>51833.35</v>
      </c>
      <c r="E10" s="28" t="n">
        <f aca="false">SUM(E5:E9)</f>
        <v>62997.6</v>
      </c>
      <c r="G10" s="28" t="n">
        <f aca="false">SUM(G5:G9)</f>
        <v>123014.88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7"/>
    <col collapsed="false" customWidth="true" hidden="false" outlineLevel="0" max="5" min="5" style="0" width="12"/>
  </cols>
  <sheetData>
    <row r="1" customFormat="false" ht="17.35" hidden="false" customHeight="false" outlineLevel="0" collapsed="false">
      <c r="A1" s="14" t="s">
        <v>546</v>
      </c>
    </row>
    <row r="2" customFormat="false" ht="15" hidden="false" customHeight="false" outlineLevel="0" collapsed="false">
      <c r="A2" s="3" t="s">
        <v>547</v>
      </c>
    </row>
    <row r="4" customFormat="false" ht="15" hidden="false" customHeight="false" outlineLevel="0" collapsed="false">
      <c r="A4" s="15" t="s">
        <v>548</v>
      </c>
      <c r="B4" s="15" t="s">
        <v>21</v>
      </c>
      <c r="C4" s="15" t="s">
        <v>5</v>
      </c>
      <c r="D4" s="15" t="s">
        <v>549</v>
      </c>
      <c r="E4" s="15" t="s">
        <v>22</v>
      </c>
    </row>
    <row r="5" customFormat="false" ht="15" hidden="false" customHeight="false" outlineLevel="0" collapsed="false">
      <c r="A5" s="6" t="s">
        <v>550</v>
      </c>
      <c r="B5" s="16" t="n">
        <v>612086.79</v>
      </c>
      <c r="C5" s="16" t="n">
        <v>107700.42</v>
      </c>
      <c r="D5" s="18" t="n">
        <v>3771</v>
      </c>
      <c r="E5" s="17" t="n">
        <v>17.6</v>
      </c>
    </row>
    <row r="6" customFormat="false" ht="15" hidden="false" customHeight="false" outlineLevel="0" collapsed="false">
      <c r="A6" s="20" t="s">
        <v>551</v>
      </c>
      <c r="B6" s="21" t="n">
        <v>229986.66</v>
      </c>
      <c r="C6" s="21" t="n">
        <v>24292.51</v>
      </c>
      <c r="D6" s="23" t="n">
        <v>1264</v>
      </c>
      <c r="E6" s="22" t="n">
        <v>10.6</v>
      </c>
    </row>
    <row r="7" customFormat="false" ht="15" hidden="false" customHeight="false" outlineLevel="0" collapsed="false">
      <c r="A7" s="6" t="s">
        <v>552</v>
      </c>
      <c r="B7" s="16" t="n">
        <v>76822.55</v>
      </c>
      <c r="C7" s="16" t="n">
        <v>-974.22</v>
      </c>
      <c r="D7" s="18" t="n">
        <v>391</v>
      </c>
      <c r="E7" s="17" t="n">
        <v>-1.3</v>
      </c>
    </row>
    <row r="8" customFormat="false" ht="15" hidden="false" customHeight="false" outlineLevel="0" collapsed="false">
      <c r="A8" s="20" t="s">
        <v>553</v>
      </c>
      <c r="B8" s="21" t="n">
        <v>36274.64</v>
      </c>
      <c r="C8" s="21" t="n">
        <v>-2417.45</v>
      </c>
      <c r="D8" s="23" t="n">
        <v>127</v>
      </c>
      <c r="E8" s="22" t="n">
        <v>-6.7</v>
      </c>
    </row>
    <row r="9" customFormat="false" ht="15" hidden="false" customHeight="false" outlineLevel="0" collapsed="false">
      <c r="A9" s="6" t="s">
        <v>554</v>
      </c>
      <c r="B9" s="16" t="n">
        <v>17611.57</v>
      </c>
      <c r="C9" s="16" t="n">
        <v>-5586.38</v>
      </c>
      <c r="D9" s="18" t="n">
        <v>31</v>
      </c>
      <c r="E9" s="17" t="n">
        <v>-31.7</v>
      </c>
    </row>
    <row r="10" customFormat="false" ht="15" hidden="false" customHeight="false" outlineLevel="0" collapsed="false">
      <c r="A10" s="27" t="s">
        <v>35</v>
      </c>
      <c r="B10" s="28" t="n">
        <f aca="false">SUM(B5:B9)</f>
        <v>972782.21</v>
      </c>
      <c r="C10" s="28" t="n">
        <f aca="false">SUM(C5:C9)</f>
        <v>123014.88</v>
      </c>
      <c r="D10" s="29" t="n">
        <f aca="false">SUM(D5:D9)</f>
        <v>5584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5"/>
    <col collapsed="false" customWidth="true" hidden="false" outlineLevel="0" max="5" min="4" style="0" width="12"/>
    <col collapsed="false" customWidth="true" hidden="false" outlineLevel="0" max="6" min="6" style="0" width="15"/>
  </cols>
  <sheetData>
    <row r="1" customFormat="false" ht="17.35" hidden="false" customHeight="false" outlineLevel="0" collapsed="false">
      <c r="A1" s="14" t="s">
        <v>555</v>
      </c>
    </row>
    <row r="3" customFormat="false" ht="15" hidden="false" customHeight="false" outlineLevel="0" collapsed="false">
      <c r="A3" s="15" t="s">
        <v>556</v>
      </c>
      <c r="B3" s="15" t="s">
        <v>21</v>
      </c>
      <c r="C3" s="15" t="s">
        <v>5</v>
      </c>
      <c r="D3" s="15" t="s">
        <v>25</v>
      </c>
      <c r="E3" s="15" t="s">
        <v>22</v>
      </c>
      <c r="F3" s="15" t="s">
        <v>347</v>
      </c>
    </row>
    <row r="4" customFormat="false" ht="15" hidden="false" customHeight="false" outlineLevel="0" collapsed="false">
      <c r="A4" s="6" t="s">
        <v>557</v>
      </c>
      <c r="B4" s="16" t="n">
        <v>75833.17</v>
      </c>
      <c r="C4" s="16" t="n">
        <v>10124.65</v>
      </c>
      <c r="D4" s="18" t="n">
        <v>165</v>
      </c>
      <c r="E4" s="17" t="n">
        <v>13.4</v>
      </c>
      <c r="F4" s="16" t="n">
        <v>459.59</v>
      </c>
    </row>
    <row r="5" customFormat="false" ht="15" hidden="false" customHeight="false" outlineLevel="0" collapsed="false">
      <c r="A5" s="20" t="s">
        <v>558</v>
      </c>
      <c r="B5" s="21" t="n">
        <v>63595.64</v>
      </c>
      <c r="C5" s="21" t="n">
        <v>8469.4</v>
      </c>
      <c r="D5" s="23" t="n">
        <v>147</v>
      </c>
      <c r="E5" s="22" t="n">
        <v>13.3</v>
      </c>
      <c r="F5" s="21" t="n">
        <v>432.62</v>
      </c>
    </row>
    <row r="6" customFormat="false" ht="15" hidden="false" customHeight="false" outlineLevel="0" collapsed="false">
      <c r="A6" s="6" t="s">
        <v>559</v>
      </c>
      <c r="B6" s="16" t="n">
        <v>115202.49</v>
      </c>
      <c r="C6" s="16" t="n">
        <v>12397.44</v>
      </c>
      <c r="D6" s="18" t="n">
        <v>227</v>
      </c>
      <c r="E6" s="17" t="n">
        <v>10.8</v>
      </c>
      <c r="F6" s="16" t="n">
        <v>507.5</v>
      </c>
    </row>
    <row r="7" customFormat="false" ht="15" hidden="false" customHeight="false" outlineLevel="0" collapsed="false">
      <c r="A7" s="20" t="s">
        <v>560</v>
      </c>
      <c r="B7" s="21" t="n">
        <v>73353.08</v>
      </c>
      <c r="C7" s="21" t="n">
        <v>9971.99</v>
      </c>
      <c r="D7" s="23" t="n">
        <v>149</v>
      </c>
      <c r="E7" s="22" t="n">
        <v>13.6</v>
      </c>
      <c r="F7" s="21" t="n">
        <v>492.3</v>
      </c>
    </row>
    <row r="8" customFormat="false" ht="15" hidden="false" customHeight="false" outlineLevel="0" collapsed="false">
      <c r="A8" s="6" t="s">
        <v>561</v>
      </c>
      <c r="B8" s="16" t="n">
        <v>70383.99</v>
      </c>
      <c r="C8" s="16" t="n">
        <v>8096.52</v>
      </c>
      <c r="D8" s="18" t="n">
        <v>162</v>
      </c>
      <c r="E8" s="17" t="n">
        <v>11.5</v>
      </c>
      <c r="F8" s="16" t="n">
        <v>434.47</v>
      </c>
    </row>
    <row r="9" customFormat="false" ht="15" hidden="false" customHeight="false" outlineLevel="0" collapsed="false">
      <c r="A9" s="20" t="s">
        <v>562</v>
      </c>
      <c r="B9" s="21" t="n">
        <v>79506.47</v>
      </c>
      <c r="C9" s="21" t="n">
        <v>11478.05</v>
      </c>
      <c r="D9" s="23" t="n">
        <v>142</v>
      </c>
      <c r="E9" s="22" t="n">
        <v>14.4</v>
      </c>
      <c r="F9" s="21" t="n">
        <v>559.9</v>
      </c>
    </row>
    <row r="10" customFormat="false" ht="15" hidden="false" customHeight="false" outlineLevel="0" collapsed="false">
      <c r="A10" s="6" t="s">
        <v>563</v>
      </c>
      <c r="B10" s="16" t="n">
        <v>75841.22</v>
      </c>
      <c r="C10" s="16" t="n">
        <v>9019.78</v>
      </c>
      <c r="D10" s="18" t="n">
        <v>150</v>
      </c>
      <c r="E10" s="17" t="n">
        <v>11.9</v>
      </c>
      <c r="F10" s="16" t="n">
        <v>505.61</v>
      </c>
    </row>
    <row r="11" customFormat="false" ht="15" hidden="false" customHeight="false" outlineLevel="0" collapsed="false">
      <c r="A11" s="20" t="s">
        <v>564</v>
      </c>
      <c r="B11" s="21" t="n">
        <v>64427.48</v>
      </c>
      <c r="C11" s="21" t="n">
        <v>6603.32</v>
      </c>
      <c r="D11" s="23" t="n">
        <v>136</v>
      </c>
      <c r="E11" s="22" t="n">
        <v>10.2</v>
      </c>
      <c r="F11" s="21" t="n">
        <v>473.73</v>
      </c>
    </row>
    <row r="12" customFormat="false" ht="15" hidden="false" customHeight="false" outlineLevel="0" collapsed="false">
      <c r="A12" s="6" t="s">
        <v>565</v>
      </c>
      <c r="B12" s="16" t="n">
        <v>84751.46</v>
      </c>
      <c r="C12" s="16" t="n">
        <v>10919.44</v>
      </c>
      <c r="D12" s="18" t="n">
        <v>158</v>
      </c>
      <c r="E12" s="17" t="n">
        <v>12.9</v>
      </c>
      <c r="F12" s="16" t="n">
        <v>536.4</v>
      </c>
    </row>
    <row r="13" customFormat="false" ht="15" hidden="false" customHeight="false" outlineLevel="0" collapsed="false">
      <c r="A13" s="20" t="s">
        <v>566</v>
      </c>
      <c r="B13" s="21" t="n">
        <v>88855.08</v>
      </c>
      <c r="C13" s="21" t="n">
        <v>11873.44</v>
      </c>
      <c r="D13" s="23" t="n">
        <v>175</v>
      </c>
      <c r="E13" s="22" t="n">
        <v>13.4</v>
      </c>
      <c r="F13" s="21" t="n">
        <v>507.74</v>
      </c>
    </row>
    <row r="14" customFormat="false" ht="15" hidden="false" customHeight="false" outlineLevel="0" collapsed="false">
      <c r="A14" s="6" t="s">
        <v>567</v>
      </c>
      <c r="B14" s="16" t="n">
        <v>65541.3</v>
      </c>
      <c r="C14" s="16" t="n">
        <v>7418.64</v>
      </c>
      <c r="D14" s="18" t="n">
        <v>139</v>
      </c>
      <c r="E14" s="17" t="n">
        <v>11.3</v>
      </c>
      <c r="F14" s="16" t="n">
        <v>471.52</v>
      </c>
    </row>
    <row r="15" customFormat="false" ht="15" hidden="false" customHeight="false" outlineLevel="0" collapsed="false">
      <c r="A15" s="20" t="s">
        <v>568</v>
      </c>
      <c r="B15" s="21" t="n">
        <v>115490.83</v>
      </c>
      <c r="C15" s="21" t="n">
        <v>16642.21</v>
      </c>
      <c r="D15" s="23" t="n">
        <v>218</v>
      </c>
      <c r="E15" s="22" t="n">
        <v>14.4</v>
      </c>
      <c r="F15" s="21" t="n">
        <v>529.77</v>
      </c>
    </row>
    <row r="16" customFormat="false" ht="15" hidden="false" customHeight="false" outlineLevel="0" collapsed="false">
      <c r="A16" s="27" t="s">
        <v>35</v>
      </c>
      <c r="B16" s="28" t="n">
        <f aca="false">SUM(B4:B15)</f>
        <v>972782.21</v>
      </c>
      <c r="C16" s="28" t="n">
        <f aca="false">SUM(C4:C15)</f>
        <v>123014.88</v>
      </c>
      <c r="D16" s="29" t="n">
        <f aca="false">SUM(D4:D15)</f>
        <v>1968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4" t="s">
        <v>569</v>
      </c>
    </row>
    <row r="2" customFormat="false" ht="15" hidden="false" customHeight="false" outlineLevel="0" collapsed="false">
      <c r="A2" s="3" t="s">
        <v>570</v>
      </c>
    </row>
    <row r="4" customFormat="false" ht="15" hidden="false" customHeight="false" outlineLevel="0" collapsed="false">
      <c r="A4" s="15" t="s">
        <v>571</v>
      </c>
      <c r="B4" s="15" t="s">
        <v>572</v>
      </c>
      <c r="C4" s="15" t="s">
        <v>573</v>
      </c>
      <c r="D4" s="15" t="s">
        <v>574</v>
      </c>
    </row>
    <row r="5" customFormat="false" ht="15" hidden="false" customHeight="false" outlineLevel="0" collapsed="false">
      <c r="A5" s="6" t="s">
        <v>575</v>
      </c>
      <c r="B5" s="6" t="s">
        <v>576</v>
      </c>
      <c r="C5" s="18" t="n">
        <v>76</v>
      </c>
      <c r="D5" s="6" t="s">
        <v>577</v>
      </c>
    </row>
    <row r="6" customFormat="false" ht="15" hidden="false" customHeight="false" outlineLevel="0" collapsed="false">
      <c r="A6" s="20" t="s">
        <v>575</v>
      </c>
      <c r="B6" s="20" t="s">
        <v>578</v>
      </c>
      <c r="C6" s="23" t="n">
        <v>403</v>
      </c>
      <c r="D6" s="20" t="s">
        <v>579</v>
      </c>
    </row>
    <row r="7" customFormat="false" ht="15" hidden="false" customHeight="false" outlineLevel="0" collapsed="false">
      <c r="A7" s="6" t="s">
        <v>575</v>
      </c>
      <c r="B7" s="6" t="s">
        <v>580</v>
      </c>
      <c r="C7" s="18" t="n">
        <v>85</v>
      </c>
      <c r="D7" s="6" t="s">
        <v>581</v>
      </c>
    </row>
    <row r="8" customFormat="false" ht="15" hidden="false" customHeight="false" outlineLevel="0" collapsed="false">
      <c r="A8" s="20" t="s">
        <v>582</v>
      </c>
      <c r="B8" s="20" t="s">
        <v>583</v>
      </c>
      <c r="C8" s="23" t="n">
        <v>44</v>
      </c>
      <c r="D8" s="20" t="s">
        <v>584</v>
      </c>
    </row>
    <row r="9" customFormat="false" ht="15" hidden="false" customHeight="false" outlineLevel="0" collapsed="false">
      <c r="A9" s="6" t="s">
        <v>585</v>
      </c>
      <c r="B9" s="6" t="s">
        <v>586</v>
      </c>
      <c r="C9" s="18" t="n">
        <v>378</v>
      </c>
      <c r="D9" s="6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2026-08-12T17:12:59Z</dcterms:created>
  <dc:creator>openpyxl</dc:creator>
  <dc:description/>
  <dc:language>en-US</dc:language>
  <cp:lastModifiedBy/>
  <dcterms:modified xsi:type="dcterms:W3CDTF">2026-08-12T17:12:59Z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